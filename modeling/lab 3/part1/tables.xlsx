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a/itmo/модельки/лаба 3/"/>
    </mc:Choice>
  </mc:AlternateContent>
  <xr:revisionPtr revIDLastSave="0" documentId="13_ncr:1_{C6DBEB1C-BFBF-B74C-B5A7-C882D5149ED9}" xr6:coauthVersionLast="47" xr6:coauthVersionMax="47" xr10:uidLastSave="{00000000-0000-0000-0000-000000000000}"/>
  <bookViews>
    <workbookView xWindow="3380" yWindow="2640" windowWidth="27840" windowHeight="16740" xr2:uid="{18C175ED-DD56-5E45-A371-B98C98D7CDC7}"/>
  </bookViews>
  <sheets>
    <sheet name="Сравнение" sheetId="1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" r:id="rId10"/>
    <sheet name="Графики" sheetId="10" r:id="rId11"/>
  </sheets>
  <definedNames>
    <definedName name="_xlchart.v1.2" hidden="1">Графики!$A$2:$A$10</definedName>
    <definedName name="_xlchart.v1.3" hidden="1">Графики!$E$2:$E$10</definedName>
    <definedName name="_xlchart.v2.0" hidden="1">Графики!$A$2:$A$10</definedName>
    <definedName name="_xlchart.v2.1" hidden="1">Графики!$E$2:$E$10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1" l="1"/>
  <c r="D8" i="11"/>
  <c r="C6" i="11"/>
  <c r="C5" i="11"/>
  <c r="C3" i="11"/>
  <c r="C2" i="11"/>
  <c r="D2" i="11" s="1"/>
  <c r="D7" i="11"/>
  <c r="D6" i="11"/>
  <c r="D5" i="11"/>
  <c r="D4" i="11"/>
  <c r="D3" i="11"/>
  <c r="E2" i="10" l="1" a="1"/>
  <c r="E2" i="10" s="1"/>
  <c r="E3" i="10" a="1"/>
  <c r="E3" i="10" s="1"/>
  <c r="E4" i="10" a="1"/>
  <c r="E4" i="10" s="1"/>
  <c r="E5" i="10" a="1"/>
  <c r="E5" i="10" s="1"/>
  <c r="E6" i="10" a="1"/>
  <c r="E6" i="10" s="1"/>
  <c r="E7" i="10" a="1"/>
  <c r="E7" i="10" s="1"/>
  <c r="E8" i="10" a="1"/>
  <c r="E8" i="10" s="1"/>
  <c r="E9" i="10" a="1"/>
  <c r="E9" i="10"/>
  <c r="E10" i="10" a="1"/>
  <c r="E10" i="10" s="1"/>
  <c r="D2" i="10" a="1"/>
  <c r="D2" i="10" s="1"/>
  <c r="D3" i="10" a="1"/>
  <c r="D3" i="10" s="1"/>
  <c r="D4" i="10" a="1"/>
  <c r="D4" i="10"/>
  <c r="D5" i="10" a="1"/>
  <c r="D5" i="10" s="1"/>
  <c r="D6" i="10" a="1"/>
  <c r="D6" i="10" s="1"/>
  <c r="D7" i="10" a="1"/>
  <c r="D7" i="10" s="1"/>
  <c r="D8" i="10" a="1"/>
  <c r="D8" i="10" s="1"/>
  <c r="D9" i="10" a="1"/>
  <c r="D9" i="10" s="1"/>
  <c r="D10" i="10" a="1"/>
  <c r="D10" i="10" s="1"/>
  <c r="C10" i="10" a="1"/>
  <c r="C10" i="10" s="1"/>
  <c r="C9" i="10" a="1"/>
  <c r="C9" i="10" s="1"/>
  <c r="C8" i="10" a="1"/>
  <c r="C8" i="10" s="1"/>
  <c r="C7" i="10" a="1"/>
  <c r="C7" i="10" s="1"/>
  <c r="C6" i="10" a="1"/>
  <c r="C6" i="10" s="1"/>
  <c r="C5" i="10" a="1"/>
  <c r="C5" i="10" s="1"/>
  <c r="C4" i="10" a="1"/>
  <c r="C4" i="10" s="1"/>
  <c r="C3" i="10" a="1"/>
  <c r="C3" i="10" s="1"/>
  <c r="C2" i="10" a="1"/>
  <c r="C2" i="10" s="1"/>
  <c r="B2" i="10" a="1"/>
  <c r="B2" i="10" s="1"/>
  <c r="B10" i="10" a="1"/>
  <c r="B10" i="10" s="1"/>
  <c r="B9" i="10" a="1"/>
  <c r="B9" i="10" s="1"/>
  <c r="B8" i="10" a="1"/>
  <c r="B8" i="10" s="1"/>
  <c r="B7" i="10" a="1"/>
  <c r="B7" i="10" s="1"/>
  <c r="B6" i="10" a="1"/>
  <c r="B6" i="10" s="1"/>
  <c r="B5" i="10" a="1"/>
  <c r="B5" i="10" s="1"/>
  <c r="B4" i="10" a="1"/>
  <c r="B4" i="10" s="1"/>
  <c r="B3" i="10" a="1"/>
  <c r="B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<sst xmlns="http://schemas.openxmlformats.org/spreadsheetml/2006/main" count="1562" uniqueCount="893">
  <si>
    <t>10.0%</t>
  </si>
  <si>
    <t>-%</t>
  </si>
  <si>
    <t>0.005</t>
  </si>
  <si>
    <t>0.235</t>
  </si>
  <si>
    <t>0.171</t>
  </si>
  <si>
    <t>0.383</t>
  </si>
  <si>
    <t>0.312</t>
  </si>
  <si>
    <t>182.45%</t>
  </si>
  <si>
    <t>18.0%</t>
  </si>
  <si>
    <t>1.8%</t>
  </si>
  <si>
    <t>0.409</t>
  </si>
  <si>
    <t>0.364</t>
  </si>
  <si>
    <t>8.688</t>
  </si>
  <si>
    <t>4980.7%</t>
  </si>
  <si>
    <t>10.861</t>
  </si>
  <si>
    <t>3.957</t>
  </si>
  <si>
    <t>45.54%</t>
  </si>
  <si>
    <t>20.0%</t>
  </si>
  <si>
    <t>1.11%</t>
  </si>
  <si>
    <t>0.341</t>
  </si>
  <si>
    <t>0.394</t>
  </si>
  <si>
    <t>7.745</t>
  </si>
  <si>
    <t>10.85%</t>
  </si>
  <si>
    <t>11.366</t>
  </si>
  <si>
    <t>2.928</t>
  </si>
  <si>
    <t>37.8%</t>
  </si>
  <si>
    <t>21.0%</t>
  </si>
  <si>
    <t>1.05%</t>
  </si>
  <si>
    <t>0.391</t>
  </si>
  <si>
    <t>0.390</t>
  </si>
  <si>
    <t>8.540</t>
  </si>
  <si>
    <t>10.26%</t>
  </si>
  <si>
    <t>12.356</t>
  </si>
  <si>
    <t>2.251</t>
  </si>
  <si>
    <t>26.35%</t>
  </si>
  <si>
    <t>23.2%</t>
  </si>
  <si>
    <t>1.1%</t>
  </si>
  <si>
    <t>0.461</t>
  </si>
  <si>
    <t>0.385</t>
  </si>
  <si>
    <t>10.604</t>
  </si>
  <si>
    <t>24.17%</t>
  </si>
  <si>
    <t>17.388</t>
  </si>
  <si>
    <t>2.003</t>
  </si>
  <si>
    <t>18.89%</t>
  </si>
  <si>
    <t>21.4%</t>
  </si>
  <si>
    <t>0.92%</t>
  </si>
  <si>
    <t>0.426</t>
  </si>
  <si>
    <t>0.384</t>
  </si>
  <si>
    <t>9.771</t>
  </si>
  <si>
    <t>7.86%</t>
  </si>
  <si>
    <t>15.763</t>
  </si>
  <si>
    <t>1.284</t>
  </si>
  <si>
    <t>13.14%</t>
  </si>
  <si>
    <t>21.25%</t>
  </si>
  <si>
    <t>0.99%</t>
  </si>
  <si>
    <t>0.462</t>
  </si>
  <si>
    <t>10.644</t>
  </si>
  <si>
    <t>8.93%</t>
  </si>
  <si>
    <t>16.803</t>
  </si>
  <si>
    <t>0.968</t>
  </si>
  <si>
    <t>9.09%</t>
  </si>
  <si>
    <t>22.58%</t>
  </si>
  <si>
    <t>1.06%</t>
  </si>
  <si>
    <t>0.470</t>
  </si>
  <si>
    <t>11.004</t>
  </si>
  <si>
    <t>3.38%</t>
  </si>
  <si>
    <t>17.379</t>
  </si>
  <si>
    <t>0.633</t>
  </si>
  <si>
    <t>5.75%</t>
  </si>
  <si>
    <t>22.71%</t>
  </si>
  <si>
    <t>1.01%</t>
  </si>
  <si>
    <t>0.477</t>
  </si>
  <si>
    <t>11.094</t>
  </si>
  <si>
    <t>0.82%</t>
  </si>
  <si>
    <t>17.156</t>
  </si>
  <si>
    <t>0.442</t>
  </si>
  <si>
    <t>3.98%</t>
  </si>
  <si>
    <t>22.54%</t>
  </si>
  <si>
    <t>0.484</t>
  </si>
  <si>
    <t>11.236</t>
  </si>
  <si>
    <t>1.28%</t>
  </si>
  <si>
    <t>17.322</t>
  </si>
  <si>
    <t>0.316</t>
  </si>
  <si>
    <t>2.81%</t>
  </si>
  <si>
    <t>23.32%</t>
  </si>
  <si>
    <t>1.03%</t>
  </si>
  <si>
    <t>0.487</t>
  </si>
  <si>
    <t>0.393</t>
  </si>
  <si>
    <t>11.325</t>
  </si>
  <si>
    <t>0.79%</t>
  </si>
  <si>
    <t>17.553</t>
  </si>
  <si>
    <t>0.202</t>
  </si>
  <si>
    <t>1.79%</t>
  </si>
  <si>
    <t>23.38%</t>
  </si>
  <si>
    <t>1.0%</t>
  </si>
  <si>
    <t>0.485</t>
  </si>
  <si>
    <t>11.248</t>
  </si>
  <si>
    <t>0.68%</t>
  </si>
  <si>
    <t>17.360</t>
  </si>
  <si>
    <t>0.141</t>
  </si>
  <si>
    <t>1.26%</t>
  </si>
  <si>
    <t>11.226</t>
  </si>
  <si>
    <t>0.2%</t>
  </si>
  <si>
    <t>17.419</t>
  </si>
  <si>
    <t>0.116</t>
  </si>
  <si>
    <t>23.42%</t>
  </si>
  <si>
    <t>0.395</t>
  </si>
  <si>
    <t>11.240</t>
  </si>
  <si>
    <t>0.12%</t>
  </si>
  <si>
    <t>17.450</t>
  </si>
  <si>
    <t>0.101</t>
  </si>
  <si>
    <t>0.89%</t>
  </si>
  <si>
    <t>23.4%</t>
  </si>
  <si>
    <t>0.486</t>
  </si>
  <si>
    <t>11.287</t>
  </si>
  <si>
    <t>0.42%</t>
  </si>
  <si>
    <t>17.523</t>
  </si>
  <si>
    <t>0.082</t>
  </si>
  <si>
    <t>0.73%</t>
  </si>
  <si>
    <t>23.44%</t>
  </si>
  <si>
    <t>11.308</t>
  </si>
  <si>
    <t>0.19%</t>
  </si>
  <si>
    <t>17.543</t>
  </si>
  <si>
    <t>0.076</t>
  </si>
  <si>
    <t>23.45%</t>
  </si>
  <si>
    <t>0.488</t>
  </si>
  <si>
    <t>11.354</t>
  </si>
  <si>
    <t>0.41%</t>
  </si>
  <si>
    <t>17.557</t>
  </si>
  <si>
    <t>0.072</t>
  </si>
  <si>
    <t>0.63%</t>
  </si>
  <si>
    <t>23.54%</t>
  </si>
  <si>
    <t>0.490</t>
  </si>
  <si>
    <t>11.391</t>
  </si>
  <si>
    <t>0.33%</t>
  </si>
  <si>
    <t>17.609</t>
  </si>
  <si>
    <t>0.064</t>
  </si>
  <si>
    <t>0.56%</t>
  </si>
  <si>
    <t>23.56%</t>
  </si>
  <si>
    <t>0.491</t>
  </si>
  <si>
    <t>11.414</t>
  </si>
  <si>
    <t>17.619</t>
  </si>
  <si>
    <t>0.045</t>
  </si>
  <si>
    <t>0.4%</t>
  </si>
  <si>
    <t xml:space="preserve"> 20.0%</t>
  </si>
  <si>
    <t xml:space="preserve"> -%</t>
  </si>
  <si>
    <t xml:space="preserve"> 0.318</t>
  </si>
  <si>
    <t xml:space="preserve"> 0.323</t>
  </si>
  <si>
    <t xml:space="preserve"> 7.286</t>
  </si>
  <si>
    <t xml:space="preserve"> 10.176</t>
  </si>
  <si>
    <t xml:space="preserve"> 8.289</t>
  </si>
  <si>
    <t xml:space="preserve"> 113.77%</t>
  </si>
  <si>
    <t xml:space="preserve"> 1.0%</t>
  </si>
  <si>
    <t xml:space="preserve"> 0.533</t>
  </si>
  <si>
    <t xml:space="preserve"> 0.392</t>
  </si>
  <si>
    <t xml:space="preserve"> 10.728</t>
  </si>
  <si>
    <t xml:space="preserve"> 47.24%</t>
  </si>
  <si>
    <t xml:space="preserve"> 9.157</t>
  </si>
  <si>
    <t xml:space="preserve"> 3.336</t>
  </si>
  <si>
    <t xml:space="preserve"> 31.1%</t>
  </si>
  <si>
    <t xml:space="preserve"> 0.479</t>
  </si>
  <si>
    <t xml:space="preserve"> 0.394</t>
  </si>
  <si>
    <t xml:space="preserve"> 11.348</t>
  </si>
  <si>
    <t xml:space="preserve"> 5.78%</t>
  </si>
  <si>
    <t xml:space="preserve"> 22.095</t>
  </si>
  <si>
    <t xml:space="preserve"> 5.692</t>
  </si>
  <si>
    <t xml:space="preserve"> 50.16%</t>
  </si>
  <si>
    <t xml:space="preserve"> 18.5%</t>
  </si>
  <si>
    <t xml:space="preserve"> 0.93%</t>
  </si>
  <si>
    <t xml:space="preserve"> 0.403</t>
  </si>
  <si>
    <t xml:space="preserve"> 0.366</t>
  </si>
  <si>
    <t xml:space="preserve"> 9.728</t>
  </si>
  <si>
    <t xml:space="preserve"> 14.28%</t>
  </si>
  <si>
    <t xml:space="preserve"> 18.436</t>
  </si>
  <si>
    <t xml:space="preserve"> 3.358</t>
  </si>
  <si>
    <t xml:space="preserve"> 34.52%</t>
  </si>
  <si>
    <t xml:space="preserve"> 24.8%</t>
  </si>
  <si>
    <t xml:space="preserve"> 1.34%</t>
  </si>
  <si>
    <t xml:space="preserve"> 0.471</t>
  </si>
  <si>
    <t xml:space="preserve"> 0.377</t>
  </si>
  <si>
    <t xml:space="preserve"> 11.063</t>
  </si>
  <si>
    <t xml:space="preserve"> 13.72%</t>
  </si>
  <si>
    <t xml:space="preserve"> 17.855</t>
  </si>
  <si>
    <t xml:space="preserve"> 2.057</t>
  </si>
  <si>
    <t xml:space="preserve"> 18.59%</t>
  </si>
  <si>
    <t xml:space="preserve"> 22.8%</t>
  </si>
  <si>
    <t xml:space="preserve"> 0.92%</t>
  </si>
  <si>
    <t xml:space="preserve"> 0.455</t>
  </si>
  <si>
    <t xml:space="preserve"> 0.376</t>
  </si>
  <si>
    <t xml:space="preserve"> 10.629</t>
  </si>
  <si>
    <t xml:space="preserve"> 3.92%</t>
  </si>
  <si>
    <t xml:space="preserve"> 16.916</t>
  </si>
  <si>
    <t xml:space="preserve"> 1.378</t>
  </si>
  <si>
    <t xml:space="preserve"> 12.96%</t>
  </si>
  <si>
    <t xml:space="preserve"> 24.45%</t>
  </si>
  <si>
    <t xml:space="preserve"> 1.07%</t>
  </si>
  <si>
    <t xml:space="preserve"> 0.474</t>
  </si>
  <si>
    <t xml:space="preserve"> 0.379</t>
  </si>
  <si>
    <t xml:space="preserve"> 11.274</t>
  </si>
  <si>
    <t xml:space="preserve"> 6.07%</t>
  </si>
  <si>
    <t xml:space="preserve"> 18.214</t>
  </si>
  <si>
    <t xml:space="preserve"> 1.049</t>
  </si>
  <si>
    <t xml:space="preserve"> 9.31%</t>
  </si>
  <si>
    <t xml:space="preserve"> 26.3%</t>
  </si>
  <si>
    <t xml:space="preserve"> 1.08%</t>
  </si>
  <si>
    <t xml:space="preserve"> 0.381</t>
  </si>
  <si>
    <t xml:space="preserve"> 11.448</t>
  </si>
  <si>
    <t xml:space="preserve"> 1.54%</t>
  </si>
  <si>
    <t xml:space="preserve"> 17.630</t>
  </si>
  <si>
    <t xml:space="preserve"> 0.642</t>
  </si>
  <si>
    <t xml:space="preserve"> 5.61%</t>
  </si>
  <si>
    <t xml:space="preserve"> 26.79%</t>
  </si>
  <si>
    <t xml:space="preserve"> 1.02%</t>
  </si>
  <si>
    <t xml:space="preserve"> 0.491</t>
  </si>
  <si>
    <t xml:space="preserve"> 0.380</t>
  </si>
  <si>
    <t xml:space="preserve"> 11.648</t>
  </si>
  <si>
    <t xml:space="preserve"> 1.75%</t>
  </si>
  <si>
    <t xml:space="preserve"> 17.790</t>
  </si>
  <si>
    <t xml:space="preserve"> 0.458</t>
  </si>
  <si>
    <t xml:space="preserve"> 3.93%</t>
  </si>
  <si>
    <t xml:space="preserve"> 27.21%</t>
  </si>
  <si>
    <t xml:space="preserve"> 0.498</t>
  </si>
  <si>
    <t xml:space="preserve"> 11.797</t>
  </si>
  <si>
    <t xml:space="preserve"> 1.28%</t>
  </si>
  <si>
    <t xml:space="preserve"> 17.729</t>
  </si>
  <si>
    <t xml:space="preserve"> 2.74%</t>
  </si>
  <si>
    <t xml:space="preserve"> 27.87%</t>
  </si>
  <si>
    <t xml:space="preserve"> 0.500</t>
  </si>
  <si>
    <t xml:space="preserve"> 0.382</t>
  </si>
  <si>
    <t xml:space="preserve"> 11.933</t>
  </si>
  <si>
    <t xml:space="preserve"> 1.15%</t>
  </si>
  <si>
    <t xml:space="preserve"> 17.801</t>
  </si>
  <si>
    <t xml:space="preserve"> 0.205</t>
  </si>
  <si>
    <t xml:space="preserve"> 1.72%</t>
  </si>
  <si>
    <t xml:space="preserve"> 27.63%</t>
  </si>
  <si>
    <t xml:space="preserve"> 0.99%</t>
  </si>
  <si>
    <t xml:space="preserve"> 0.501</t>
  </si>
  <si>
    <t xml:space="preserve"> 11.970</t>
  </si>
  <si>
    <t xml:space="preserve"> 0.31%</t>
  </si>
  <si>
    <t xml:space="preserve"> 17.812</t>
  </si>
  <si>
    <t xml:space="preserve"> 0.145</t>
  </si>
  <si>
    <t xml:space="preserve"> 1.21%</t>
  </si>
  <si>
    <t xml:space="preserve"> 27.83%</t>
  </si>
  <si>
    <t xml:space="preserve"> 1.01%</t>
  </si>
  <si>
    <t xml:space="preserve"> 0.503</t>
  </si>
  <si>
    <t xml:space="preserve"> 12.027</t>
  </si>
  <si>
    <t xml:space="preserve"> 0.48%</t>
  </si>
  <si>
    <t xml:space="preserve"> 17.927</t>
  </si>
  <si>
    <t xml:space="preserve"> 0.119</t>
  </si>
  <si>
    <t xml:space="preserve"> 27.98%</t>
  </si>
  <si>
    <t xml:space="preserve"> 11.967</t>
  </si>
  <si>
    <t xml:space="preserve"> 0.5%</t>
  </si>
  <si>
    <t xml:space="preserve"> 17.886</t>
  </si>
  <si>
    <t xml:space="preserve"> 0.103</t>
  </si>
  <si>
    <t xml:space="preserve"> 0.86%</t>
  </si>
  <si>
    <t xml:space="preserve"> 11.966</t>
  </si>
  <si>
    <t xml:space="preserve"> 0.01%</t>
  </si>
  <si>
    <t xml:space="preserve"> 17.923</t>
  </si>
  <si>
    <t xml:space="preserve"> 0.084</t>
  </si>
  <si>
    <t xml:space="preserve"> 0.7%</t>
  </si>
  <si>
    <t xml:space="preserve"> 27.92%</t>
  </si>
  <si>
    <t xml:space="preserve"> 11.946</t>
  </si>
  <si>
    <t xml:space="preserve"> 0.17%</t>
  </si>
  <si>
    <t xml:space="preserve"> 17.906</t>
  </si>
  <si>
    <t xml:space="preserve"> 0.078</t>
  </si>
  <si>
    <t xml:space="preserve"> 0.65%</t>
  </si>
  <si>
    <t xml:space="preserve"> 27.89%</t>
  </si>
  <si>
    <t xml:space="preserve"> 0.499</t>
  </si>
  <si>
    <t xml:space="preserve"> 17.916</t>
  </si>
  <si>
    <t xml:space="preserve"> 0.073</t>
  </si>
  <si>
    <t xml:space="preserve"> 0.61%</t>
  </si>
  <si>
    <t xml:space="preserve"> 27.96%</t>
  </si>
  <si>
    <t xml:space="preserve"> 11.955</t>
  </si>
  <si>
    <t xml:space="preserve"> 0.09%</t>
  </si>
  <si>
    <t xml:space="preserve"> 17.934</t>
  </si>
  <si>
    <t xml:space="preserve"> 0.065</t>
  </si>
  <si>
    <t xml:space="preserve"> 0.55%</t>
  </si>
  <si>
    <t xml:space="preserve"> 28.02%</t>
  </si>
  <si>
    <t xml:space="preserve"> 11.954</t>
  </si>
  <si>
    <t xml:space="preserve"> 17.964</t>
  </si>
  <si>
    <t xml:space="preserve"> 0.046</t>
  </si>
  <si>
    <t xml:space="preserve"> 0.39%</t>
  </si>
  <si>
    <t xml:space="preserve"> 30.0%</t>
  </si>
  <si>
    <t xml:space="preserve"> 1.044</t>
  </si>
  <si>
    <t xml:space="preserve"> 0.438</t>
  </si>
  <si>
    <t xml:space="preserve"> 30.038</t>
  </si>
  <si>
    <t xml:space="preserve"> 18.681</t>
  </si>
  <si>
    <t xml:space="preserve"> 15.218</t>
  </si>
  <si>
    <t xml:space="preserve"> 50.66%</t>
  </si>
  <si>
    <t xml:space="preserve"> 52.0%</t>
  </si>
  <si>
    <t xml:space="preserve"> 1.73%</t>
  </si>
  <si>
    <t xml:space="preserve"> 0.866</t>
  </si>
  <si>
    <t xml:space="preserve"> 0.502</t>
  </si>
  <si>
    <t xml:space="preserve"> 22.730</t>
  </si>
  <si>
    <t xml:space="preserve"> 24.33%</t>
  </si>
  <si>
    <t xml:space="preserve"> 18.073</t>
  </si>
  <si>
    <t xml:space="preserve"> 6.584</t>
  </si>
  <si>
    <t xml:space="preserve"> 28.97%</t>
  </si>
  <si>
    <t xml:space="preserve"> 48.0%</t>
  </si>
  <si>
    <t xml:space="preserve"> 1.059</t>
  </si>
  <si>
    <t xml:space="preserve"> 0.506</t>
  </si>
  <si>
    <t xml:space="preserve"> 32.484</t>
  </si>
  <si>
    <t xml:space="preserve"> 42.91%</t>
  </si>
  <si>
    <t xml:space="preserve"> 38.116</t>
  </si>
  <si>
    <t xml:space="preserve"> 9.819</t>
  </si>
  <si>
    <t xml:space="preserve"> 30.23%</t>
  </si>
  <si>
    <t xml:space="preserve"> 55.5%</t>
  </si>
  <si>
    <t xml:space="preserve"> 1.16%</t>
  </si>
  <si>
    <t xml:space="preserve"> 0.900</t>
  </si>
  <si>
    <t xml:space="preserve"> 0.493</t>
  </si>
  <si>
    <t xml:space="preserve"> 26.675</t>
  </si>
  <si>
    <t xml:space="preserve"> 17.88%</t>
  </si>
  <si>
    <t xml:space="preserve"> 32.151</t>
  </si>
  <si>
    <t xml:space="preserve"> 5.856</t>
  </si>
  <si>
    <t xml:space="preserve"> 21.95%</t>
  </si>
  <si>
    <t xml:space="preserve"> 54.0%</t>
  </si>
  <si>
    <t xml:space="preserve"> 0.97%</t>
  </si>
  <si>
    <t xml:space="preserve"> 0.831</t>
  </si>
  <si>
    <t xml:space="preserve"> 0.508</t>
  </si>
  <si>
    <t xml:space="preserve"> 24.530</t>
  </si>
  <si>
    <t xml:space="preserve"> 8.04%</t>
  </si>
  <si>
    <t xml:space="preserve"> 31.086</t>
  </si>
  <si>
    <t xml:space="preserve"> 3.581</t>
  </si>
  <si>
    <t xml:space="preserve"> 14.6%</t>
  </si>
  <si>
    <t xml:space="preserve"> 0.96%</t>
  </si>
  <si>
    <t xml:space="preserve"> 0.853</t>
  </si>
  <si>
    <t xml:space="preserve"> 0.512</t>
  </si>
  <si>
    <t xml:space="preserve"> 24.109</t>
  </si>
  <si>
    <t xml:space="preserve"> 28.816</t>
  </si>
  <si>
    <t xml:space="preserve"> 2.347</t>
  </si>
  <si>
    <t xml:space="preserve"> 9.74%</t>
  </si>
  <si>
    <t xml:space="preserve"> 55.6%</t>
  </si>
  <si>
    <t xml:space="preserve"> 0.872</t>
  </si>
  <si>
    <t xml:space="preserve"> 26.124</t>
  </si>
  <si>
    <t xml:space="preserve"> 8.36%</t>
  </si>
  <si>
    <t xml:space="preserve"> 33.767</t>
  </si>
  <si>
    <t xml:space="preserve"> 1.945</t>
  </si>
  <si>
    <t xml:space="preserve"> 7.45%</t>
  </si>
  <si>
    <t xml:space="preserve"> 57.7%</t>
  </si>
  <si>
    <t xml:space="preserve"> 1.04%</t>
  </si>
  <si>
    <t xml:space="preserve"> 0.909</t>
  </si>
  <si>
    <t xml:space="preserve"> 28.172</t>
  </si>
  <si>
    <t xml:space="preserve"> 7.84%</t>
  </si>
  <si>
    <t xml:space="preserve"> 33.501</t>
  </si>
  <si>
    <t xml:space="preserve"> 1.22</t>
  </si>
  <si>
    <t xml:space="preserve"> 4.33%</t>
  </si>
  <si>
    <t xml:space="preserve"> 57.84%</t>
  </si>
  <si>
    <t xml:space="preserve"> 0.929</t>
  </si>
  <si>
    <t xml:space="preserve"> 28.163</t>
  </si>
  <si>
    <t xml:space="preserve"> 0.03%</t>
  </si>
  <si>
    <t xml:space="preserve"> 33.385</t>
  </si>
  <si>
    <t xml:space="preserve"> 0.86</t>
  </si>
  <si>
    <t xml:space="preserve"> 3.05%</t>
  </si>
  <si>
    <t xml:space="preserve"> 57.3%</t>
  </si>
  <si>
    <t xml:space="preserve"> 0.928</t>
  </si>
  <si>
    <t xml:space="preserve"> 28.227</t>
  </si>
  <si>
    <t xml:space="preserve"> 0.23%</t>
  </si>
  <si>
    <t xml:space="preserve"> 33.123</t>
  </si>
  <si>
    <t xml:space="preserve"> 0.603</t>
  </si>
  <si>
    <t xml:space="preserve"> 2.14%</t>
  </si>
  <si>
    <t xml:space="preserve"> 58.23%</t>
  </si>
  <si>
    <t xml:space="preserve"> 0.930</t>
  </si>
  <si>
    <t xml:space="preserve"> 0.513</t>
  </si>
  <si>
    <t xml:space="preserve"> 28.331</t>
  </si>
  <si>
    <t xml:space="preserve"> 0.37%</t>
  </si>
  <si>
    <t xml:space="preserve"> 33.372</t>
  </si>
  <si>
    <t xml:space="preserve"> 0.384</t>
  </si>
  <si>
    <t xml:space="preserve"> 1.36%</t>
  </si>
  <si>
    <t xml:space="preserve"> 57.44%</t>
  </si>
  <si>
    <t xml:space="preserve"> 0.927</t>
  </si>
  <si>
    <t xml:space="preserve"> 0.515</t>
  </si>
  <si>
    <t xml:space="preserve"> 28.202</t>
  </si>
  <si>
    <t xml:space="preserve"> 0.46%</t>
  </si>
  <si>
    <t xml:space="preserve"> 33.018</t>
  </si>
  <si>
    <t xml:space="preserve"> 0.269</t>
  </si>
  <si>
    <t xml:space="preserve"> 0.95%</t>
  </si>
  <si>
    <t xml:space="preserve"> 57.8%</t>
  </si>
  <si>
    <t xml:space="preserve"> 28.211</t>
  </si>
  <si>
    <t xml:space="preserve"> 33.161</t>
  </si>
  <si>
    <t xml:space="preserve"> 0.221</t>
  </si>
  <si>
    <t xml:space="preserve"> 0.78%</t>
  </si>
  <si>
    <t xml:space="preserve"> 57.91%</t>
  </si>
  <si>
    <t xml:space="preserve"> 0.516</t>
  </si>
  <si>
    <t xml:space="preserve"> 28.279</t>
  </si>
  <si>
    <t xml:space="preserve"> 0.24%</t>
  </si>
  <si>
    <t xml:space="preserve"> 33.250</t>
  </si>
  <si>
    <t xml:space="preserve"> 0.192</t>
  </si>
  <si>
    <t xml:space="preserve"> 0.68%</t>
  </si>
  <si>
    <t xml:space="preserve"> 57.64%</t>
  </si>
  <si>
    <t xml:space="preserve"> 28.228</t>
  </si>
  <si>
    <t xml:space="preserve"> 0.18%</t>
  </si>
  <si>
    <t xml:space="preserve"> 33.318</t>
  </si>
  <si>
    <t xml:space="preserve"> 0.157</t>
  </si>
  <si>
    <t xml:space="preserve"> 0.56%</t>
  </si>
  <si>
    <t xml:space="preserve"> 57.72%</t>
  </si>
  <si>
    <t xml:space="preserve"> 28.282</t>
  </si>
  <si>
    <t xml:space="preserve"> 0.19%</t>
  </si>
  <si>
    <t xml:space="preserve"> 33.368</t>
  </si>
  <si>
    <t xml:space="preserve"> 0.51%</t>
  </si>
  <si>
    <t xml:space="preserve"> 57.73%</t>
  </si>
  <si>
    <t xml:space="preserve"> 28.306</t>
  </si>
  <si>
    <t xml:space="preserve"> 0.08%</t>
  </si>
  <si>
    <t xml:space="preserve"> 33.359</t>
  </si>
  <si>
    <t xml:space="preserve"> 0.136</t>
  </si>
  <si>
    <t xml:space="preserve"> 33.464</t>
  </si>
  <si>
    <t xml:space="preserve"> 0.122</t>
  </si>
  <si>
    <t xml:space="preserve"> 0.43%</t>
  </si>
  <si>
    <t xml:space="preserve"> 28.322</t>
  </si>
  <si>
    <t xml:space="preserve"> 33.428</t>
  </si>
  <si>
    <t xml:space="preserve"> 0.086</t>
  </si>
  <si>
    <t xml:space="preserve"> 0.3%</t>
  </si>
  <si>
    <t xml:space="preserve"> 500.0%</t>
  </si>
  <si>
    <t xml:space="preserve"> 1.592</t>
  </si>
  <si>
    <t xml:space="preserve"> 0.764</t>
  </si>
  <si>
    <t xml:space="preserve"> 14.288</t>
  </si>
  <si>
    <t xml:space="preserve"> 14.874</t>
  </si>
  <si>
    <t xml:space="preserve"> 12.116</t>
  </si>
  <si>
    <t xml:space="preserve"> 84.8%</t>
  </si>
  <si>
    <t xml:space="preserve"> 396.0%</t>
  </si>
  <si>
    <t xml:space="preserve"> 0.79%</t>
  </si>
  <si>
    <t xml:space="preserve"> 1.733</t>
  </si>
  <si>
    <t xml:space="preserve"> 0.839</t>
  </si>
  <si>
    <t xml:space="preserve"> 16.166</t>
  </si>
  <si>
    <t xml:space="preserve"> 13.14%</t>
  </si>
  <si>
    <t xml:space="preserve"> 11.191</t>
  </si>
  <si>
    <t xml:space="preserve"> 4.077</t>
  </si>
  <si>
    <t xml:space="preserve"> 25.22%</t>
  </si>
  <si>
    <t xml:space="preserve"> 493.0%</t>
  </si>
  <si>
    <t xml:space="preserve"> 1.24%</t>
  </si>
  <si>
    <t xml:space="preserve"> 1.721</t>
  </si>
  <si>
    <t xml:space="preserve"> 0.843</t>
  </si>
  <si>
    <t xml:space="preserve"> 19.334</t>
  </si>
  <si>
    <t xml:space="preserve"> 19.6%</t>
  </si>
  <si>
    <t xml:space="preserve"> 15.696</t>
  </si>
  <si>
    <t xml:space="preserve"> 4.043</t>
  </si>
  <si>
    <t xml:space="preserve"> 20.91%</t>
  </si>
  <si>
    <t xml:space="preserve"> 476.0%</t>
  </si>
  <si>
    <t xml:space="preserve"> 1.740</t>
  </si>
  <si>
    <t xml:space="preserve"> 0.850</t>
  </si>
  <si>
    <t xml:space="preserve"> 20.920</t>
  </si>
  <si>
    <t xml:space="preserve"> 8.2%</t>
  </si>
  <si>
    <t xml:space="preserve"> 16.594</t>
  </si>
  <si>
    <t xml:space="preserve"> 3.023</t>
  </si>
  <si>
    <t xml:space="preserve"> 14.45%</t>
  </si>
  <si>
    <t xml:space="preserve"> 496.4%</t>
  </si>
  <si>
    <t xml:space="preserve"> 1.793</t>
  </si>
  <si>
    <t xml:space="preserve"> 23.640</t>
  </si>
  <si>
    <t xml:space="preserve"> 13.0%</t>
  </si>
  <si>
    <t xml:space="preserve"> 18.712</t>
  </si>
  <si>
    <t xml:space="preserve"> 2.156</t>
  </si>
  <si>
    <t xml:space="preserve"> 9.12%</t>
  </si>
  <si>
    <t xml:space="preserve"> 492.9%</t>
  </si>
  <si>
    <t xml:space="preserve"> 1.815</t>
  </si>
  <si>
    <t xml:space="preserve"> 0.838</t>
  </si>
  <si>
    <t xml:space="preserve"> 24.195</t>
  </si>
  <si>
    <t xml:space="preserve"> 2.35%</t>
  </si>
  <si>
    <t xml:space="preserve"> 19.369</t>
  </si>
  <si>
    <t xml:space="preserve"> 1.578</t>
  </si>
  <si>
    <t xml:space="preserve"> 6.52%</t>
  </si>
  <si>
    <t xml:space="preserve"> 504.15%</t>
  </si>
  <si>
    <t xml:space="preserve"> 1.804</t>
  </si>
  <si>
    <t xml:space="preserve"> 0.842</t>
  </si>
  <si>
    <t xml:space="preserve"> 24.215</t>
  </si>
  <si>
    <t xml:space="preserve"> 20.112</t>
  </si>
  <si>
    <t xml:space="preserve"> 1.158</t>
  </si>
  <si>
    <t xml:space="preserve"> 4.78%</t>
  </si>
  <si>
    <t xml:space="preserve"> 522.28%</t>
  </si>
  <si>
    <t xml:space="preserve"> 1.821</t>
  </si>
  <si>
    <t xml:space="preserve"> 25.836</t>
  </si>
  <si>
    <t xml:space="preserve"> 6.69%</t>
  </si>
  <si>
    <t xml:space="preserve"> 20.834</t>
  </si>
  <si>
    <t xml:space="preserve"> 0.759</t>
  </si>
  <si>
    <t xml:space="preserve"> 2.94%</t>
  </si>
  <si>
    <t xml:space="preserve"> 519.64%</t>
  </si>
  <si>
    <t xml:space="preserve"> 1.822</t>
  </si>
  <si>
    <t xml:space="preserve"> 0.841</t>
  </si>
  <si>
    <t xml:space="preserve"> 26.472</t>
  </si>
  <si>
    <t xml:space="preserve"> 2.46%</t>
  </si>
  <si>
    <t xml:space="preserve"> 21.055</t>
  </si>
  <si>
    <t xml:space="preserve"> 0.542</t>
  </si>
  <si>
    <t xml:space="preserve"> 2.05%</t>
  </si>
  <si>
    <t xml:space="preserve"> 523.75%</t>
  </si>
  <si>
    <t xml:space="preserve"> 0.840</t>
  </si>
  <si>
    <t xml:space="preserve"> 26.720</t>
  </si>
  <si>
    <t xml:space="preserve"> 0.94%</t>
  </si>
  <si>
    <t xml:space="preserve"> 20.821</t>
  </si>
  <si>
    <t xml:space="preserve"> 1.42%</t>
  </si>
  <si>
    <t xml:space="preserve"> 525.81%</t>
  </si>
  <si>
    <t xml:space="preserve"> 1.825</t>
  </si>
  <si>
    <t xml:space="preserve"> 27.052</t>
  </si>
  <si>
    <t xml:space="preserve"> 20.960</t>
  </si>
  <si>
    <t xml:space="preserve"> 0.241</t>
  </si>
  <si>
    <t xml:space="preserve"> 0.89%</t>
  </si>
  <si>
    <t xml:space="preserve"> 527.39%</t>
  </si>
  <si>
    <t xml:space="preserve"> 1.824</t>
  </si>
  <si>
    <t xml:space="preserve"> 27.223</t>
  </si>
  <si>
    <t xml:space="preserve"> 0.63%</t>
  </si>
  <si>
    <t xml:space="preserve"> 21.087</t>
  </si>
  <si>
    <t xml:space="preserve"> 0.172</t>
  </si>
  <si>
    <t xml:space="preserve"> 528.72%</t>
  </si>
  <si>
    <t xml:space="preserve"> 27.315</t>
  </si>
  <si>
    <t xml:space="preserve"> 0.34%</t>
  </si>
  <si>
    <t xml:space="preserve"> 21.185</t>
  </si>
  <si>
    <t xml:space="preserve"> 0.141</t>
  </si>
  <si>
    <t xml:space="preserve"> 0.52%</t>
  </si>
  <si>
    <t xml:space="preserve"> 529.46%</t>
  </si>
  <si>
    <t xml:space="preserve"> 1.826</t>
  </si>
  <si>
    <t xml:space="preserve"> 27.380</t>
  </si>
  <si>
    <t xml:space="preserve"> 21.233</t>
  </si>
  <si>
    <t xml:space="preserve"> 0.45%</t>
  </si>
  <si>
    <t xml:space="preserve"> 529.52%</t>
  </si>
  <si>
    <t xml:space="preserve"> 27.383</t>
  </si>
  <si>
    <t xml:space="preserve"> 21.165</t>
  </si>
  <si>
    <t xml:space="preserve"> 0.1</t>
  </si>
  <si>
    <t xml:space="preserve"> 0.36%</t>
  </si>
  <si>
    <t xml:space="preserve"> 529.55%</t>
  </si>
  <si>
    <t xml:space="preserve"> 27.362</t>
  </si>
  <si>
    <t xml:space="preserve"> 21.136</t>
  </si>
  <si>
    <t xml:space="preserve"> 0.092</t>
  </si>
  <si>
    <t xml:space="preserve"> 529.75%</t>
  </si>
  <si>
    <t xml:space="preserve"> 27.382</t>
  </si>
  <si>
    <t xml:space="preserve"> 0.07%</t>
  </si>
  <si>
    <t xml:space="preserve"> 21.149</t>
  </si>
  <si>
    <t xml:space="preserve"> 529.85%</t>
  </si>
  <si>
    <t xml:space="preserve"> 27.447</t>
  </si>
  <si>
    <t xml:space="preserve"> 21.244</t>
  </si>
  <si>
    <t xml:space="preserve"> 0.077</t>
  </si>
  <si>
    <t xml:space="preserve"> 0.28%</t>
  </si>
  <si>
    <t xml:space="preserve"> 529.87%</t>
  </si>
  <si>
    <t xml:space="preserve"> 27.494</t>
  </si>
  <si>
    <t xml:space="preserve"> 21.290</t>
  </si>
  <si>
    <t xml:space="preserve"> 0.055</t>
  </si>
  <si>
    <t xml:space="preserve"> 0.2%</t>
  </si>
  <si>
    <t xml:space="preserve"> 0.435</t>
  </si>
  <si>
    <t xml:space="preserve"> 0.216</t>
  </si>
  <si>
    <t xml:space="preserve"> 10.229</t>
  </si>
  <si>
    <t xml:space="preserve"> 17.306</t>
  </si>
  <si>
    <t xml:space="preserve"> 14.098</t>
  </si>
  <si>
    <t xml:space="preserve"> 137.82%</t>
  </si>
  <si>
    <t xml:space="preserve"> 22.0%</t>
  </si>
  <si>
    <t xml:space="preserve"> 1.1%</t>
  </si>
  <si>
    <t xml:space="preserve"> 0.282</t>
  </si>
  <si>
    <t xml:space="preserve"> 0.218</t>
  </si>
  <si>
    <t xml:space="preserve"> 10.403</t>
  </si>
  <si>
    <t xml:space="preserve"> 1.7%</t>
  </si>
  <si>
    <t xml:space="preserve"> 17.302</t>
  </si>
  <si>
    <t xml:space="preserve"> 6.303</t>
  </si>
  <si>
    <t xml:space="preserve"> 60.59%</t>
  </si>
  <si>
    <t xml:space="preserve"> 24.0%</t>
  </si>
  <si>
    <t xml:space="preserve"> 1.09%</t>
  </si>
  <si>
    <t xml:space="preserve"> 0.183</t>
  </si>
  <si>
    <t xml:space="preserve"> 0.188</t>
  </si>
  <si>
    <t xml:space="preserve"> 8.515</t>
  </si>
  <si>
    <t xml:space="preserve"> 18.15%</t>
  </si>
  <si>
    <t xml:space="preserve"> 14.996</t>
  </si>
  <si>
    <t xml:space="preserve"> 3.863</t>
  </si>
  <si>
    <t xml:space="preserve"> 45.37%</t>
  </si>
  <si>
    <t xml:space="preserve"> 21.0%</t>
  </si>
  <si>
    <t xml:space="preserve"> 0.88%</t>
  </si>
  <si>
    <t xml:space="preserve"> 0.167</t>
  </si>
  <si>
    <t xml:space="preserve"> 0.195</t>
  </si>
  <si>
    <t xml:space="preserve"> 7.600</t>
  </si>
  <si>
    <t xml:space="preserve"> 10.75%</t>
  </si>
  <si>
    <t xml:space="preserve"> 13.507</t>
  </si>
  <si>
    <t xml:space="preserve"> 2.46</t>
  </si>
  <si>
    <t xml:space="preserve"> 32.37%</t>
  </si>
  <si>
    <t xml:space="preserve"> 21.8%</t>
  </si>
  <si>
    <t xml:space="preserve"> 0.190</t>
  </si>
  <si>
    <t xml:space="preserve"> 8.820</t>
  </si>
  <si>
    <t xml:space="preserve"> 16.05%</t>
  </si>
  <si>
    <t xml:space="preserve"> 14.674</t>
  </si>
  <si>
    <t xml:space="preserve"> 1.69</t>
  </si>
  <si>
    <t xml:space="preserve"> 19.17%</t>
  </si>
  <si>
    <t xml:space="preserve"> 22.1%</t>
  </si>
  <si>
    <t xml:space="preserve"> 0.170</t>
  </si>
  <si>
    <t xml:space="preserve"> 0.177</t>
  </si>
  <si>
    <t xml:space="preserve"> 8.318</t>
  </si>
  <si>
    <t xml:space="preserve"> 5.69%</t>
  </si>
  <si>
    <t xml:space="preserve"> 14.556</t>
  </si>
  <si>
    <t xml:space="preserve"> 1.186</t>
  </si>
  <si>
    <t xml:space="preserve"> 14.26%</t>
  </si>
  <si>
    <t xml:space="preserve"> 20.85%</t>
  </si>
  <si>
    <t xml:space="preserve"> 0.168</t>
  </si>
  <si>
    <t xml:space="preserve"> 8.397</t>
  </si>
  <si>
    <t xml:space="preserve"> 15.147</t>
  </si>
  <si>
    <t xml:space="preserve"> 10.39%</t>
  </si>
  <si>
    <t xml:space="preserve"> 22.36%</t>
  </si>
  <si>
    <t xml:space="preserve"> 0.164</t>
  </si>
  <si>
    <t xml:space="preserve"> 0.169</t>
  </si>
  <si>
    <t xml:space="preserve"> 8.550</t>
  </si>
  <si>
    <t xml:space="preserve"> 1.82%</t>
  </si>
  <si>
    <t xml:space="preserve"> 15.547</t>
  </si>
  <si>
    <t xml:space="preserve"> 0.566</t>
  </si>
  <si>
    <t xml:space="preserve"> 6.62%</t>
  </si>
  <si>
    <t xml:space="preserve"> 22.73%</t>
  </si>
  <si>
    <t xml:space="preserve"> 0.166</t>
  </si>
  <si>
    <t xml:space="preserve"> 8.774</t>
  </si>
  <si>
    <t xml:space="preserve"> 2.62%</t>
  </si>
  <si>
    <t xml:space="preserve"> 15.829</t>
  </si>
  <si>
    <t xml:space="preserve"> 0.408</t>
  </si>
  <si>
    <t xml:space="preserve"> 4.65%</t>
  </si>
  <si>
    <t xml:space="preserve"> 23.17%</t>
  </si>
  <si>
    <t xml:space="preserve"> 8.966</t>
  </si>
  <si>
    <t xml:space="preserve"> 2.19%</t>
  </si>
  <si>
    <t xml:space="preserve"> 16.099</t>
  </si>
  <si>
    <t xml:space="preserve"> 0.293</t>
  </si>
  <si>
    <t xml:space="preserve"> 3.27%</t>
  </si>
  <si>
    <t xml:space="preserve"> 23.34%</t>
  </si>
  <si>
    <t xml:space="preserve"> 0.165</t>
  </si>
  <si>
    <t xml:space="preserve"> 8.846</t>
  </si>
  <si>
    <t xml:space="preserve"> 15.794</t>
  </si>
  <si>
    <t xml:space="preserve"> 0.182</t>
  </si>
  <si>
    <t xml:space="preserve"> 2.06%</t>
  </si>
  <si>
    <t xml:space="preserve"> 23.65%</t>
  </si>
  <si>
    <t xml:space="preserve"> 0.163</t>
  </si>
  <si>
    <t xml:space="preserve"> 8.766</t>
  </si>
  <si>
    <t xml:space="preserve"> 0.9%</t>
  </si>
  <si>
    <t xml:space="preserve"> 15.658</t>
  </si>
  <si>
    <t xml:space="preserve"> 0.128</t>
  </si>
  <si>
    <t xml:space="preserve"> 1.46%</t>
  </si>
  <si>
    <t xml:space="preserve"> 23.85%</t>
  </si>
  <si>
    <t xml:space="preserve"> 8.867</t>
  </si>
  <si>
    <t xml:space="preserve"> 15.821</t>
  </si>
  <si>
    <t xml:space="preserve"> 0.105</t>
  </si>
  <si>
    <t xml:space="preserve"> 1.19%</t>
  </si>
  <si>
    <t xml:space="preserve"> 23.82%</t>
  </si>
  <si>
    <t xml:space="preserve"> 8.922</t>
  </si>
  <si>
    <t xml:space="preserve"> 0.62%</t>
  </si>
  <si>
    <t xml:space="preserve"> 15.909</t>
  </si>
  <si>
    <t xml:space="preserve"> 1.03%</t>
  </si>
  <si>
    <t xml:space="preserve"> 23.86%</t>
  </si>
  <si>
    <t xml:space="preserve"> 8.912</t>
  </si>
  <si>
    <t xml:space="preserve"> 0.11%</t>
  </si>
  <si>
    <t xml:space="preserve"> 15.904</t>
  </si>
  <si>
    <t xml:space="preserve"> 0.075</t>
  </si>
  <si>
    <t xml:space="preserve"> 0.84%</t>
  </si>
  <si>
    <t xml:space="preserve"> 23.87%</t>
  </si>
  <si>
    <t xml:space="preserve"> 8.911</t>
  </si>
  <si>
    <t xml:space="preserve"> 15.906</t>
  </si>
  <si>
    <t xml:space="preserve"> 0.069</t>
  </si>
  <si>
    <t xml:space="preserve"> 23.81%</t>
  </si>
  <si>
    <t xml:space="preserve"> 8.907</t>
  </si>
  <si>
    <t xml:space="preserve"> 0.04%</t>
  </si>
  <si>
    <t xml:space="preserve"> 15.903</t>
  </si>
  <si>
    <t xml:space="preserve"> 0.73%</t>
  </si>
  <si>
    <t xml:space="preserve"> 23.8%</t>
  </si>
  <si>
    <t xml:space="preserve"> 8.908</t>
  </si>
  <si>
    <t xml:space="preserve"> 15.944</t>
  </si>
  <si>
    <t xml:space="preserve"> 0.058</t>
  </si>
  <si>
    <t xml:space="preserve"> 23.83%</t>
  </si>
  <si>
    <t xml:space="preserve"> 8.873</t>
  </si>
  <si>
    <t xml:space="preserve"> 15.924</t>
  </si>
  <si>
    <t xml:space="preserve"> 0.041</t>
  </si>
  <si>
    <t xml:space="preserve"> 10.0%</t>
  </si>
  <si>
    <t xml:space="preserve"> 0.591</t>
  </si>
  <si>
    <t xml:space="preserve"> 14.705</t>
  </si>
  <si>
    <t xml:space="preserve"> 22.311</t>
  </si>
  <si>
    <t xml:space="preserve"> 18.175</t>
  </si>
  <si>
    <t xml:space="preserve"> 123.59%</t>
  </si>
  <si>
    <t xml:space="preserve"> 18.0%</t>
  </si>
  <si>
    <t xml:space="preserve"> 1.8%</t>
  </si>
  <si>
    <t xml:space="preserve"> 0.230</t>
  </si>
  <si>
    <t xml:space="preserve"> 0.219</t>
  </si>
  <si>
    <t xml:space="preserve"> 7.810</t>
  </si>
  <si>
    <t xml:space="preserve"> 46.89%</t>
  </si>
  <si>
    <t xml:space="preserve"> 13.276</t>
  </si>
  <si>
    <t xml:space="preserve"> 4.836</t>
  </si>
  <si>
    <t xml:space="preserve"> 61.93%</t>
  </si>
  <si>
    <t xml:space="preserve"> 19.0%</t>
  </si>
  <si>
    <t xml:space="preserve"> 1.06%</t>
  </si>
  <si>
    <t xml:space="preserve"> 0.283</t>
  </si>
  <si>
    <t xml:space="preserve"> 0.199</t>
  </si>
  <si>
    <t xml:space="preserve"> 12.037</t>
  </si>
  <si>
    <t xml:space="preserve"> 54.12%</t>
  </si>
  <si>
    <t xml:space="preserve"> 18.968</t>
  </si>
  <si>
    <t xml:space="preserve"> 4.886</t>
  </si>
  <si>
    <t xml:space="preserve"> 40.59%</t>
  </si>
  <si>
    <t xml:space="preserve"> 0.235</t>
  </si>
  <si>
    <t xml:space="preserve"> 0.197</t>
  </si>
  <si>
    <t xml:space="preserve"> 10.245</t>
  </si>
  <si>
    <t xml:space="preserve"> 14.89%</t>
  </si>
  <si>
    <t xml:space="preserve"> 18.247</t>
  </si>
  <si>
    <t xml:space="preserve"> 3.324</t>
  </si>
  <si>
    <t xml:space="preserve"> 32.44%</t>
  </si>
  <si>
    <t xml:space="preserve"> 17.0%</t>
  </si>
  <si>
    <t xml:space="preserve"> 0.341</t>
  </si>
  <si>
    <t xml:space="preserve"> 0.194</t>
  </si>
  <si>
    <t xml:space="preserve"> 14.839</t>
  </si>
  <si>
    <t xml:space="preserve"> 44.84%</t>
  </si>
  <si>
    <t xml:space="preserve"> 26.148</t>
  </si>
  <si>
    <t xml:space="preserve"> 3.012</t>
  </si>
  <si>
    <t xml:space="preserve"> 20.3%</t>
  </si>
  <si>
    <t xml:space="preserve"> 18.8%</t>
  </si>
  <si>
    <t xml:space="preserve"> 1.11%</t>
  </si>
  <si>
    <t xml:space="preserve"> 0.294</t>
  </si>
  <si>
    <t xml:space="preserve"> 0.181</t>
  </si>
  <si>
    <t xml:space="preserve"> 13.322</t>
  </si>
  <si>
    <t xml:space="preserve"> 10.22%</t>
  </si>
  <si>
    <t xml:space="preserve"> 23.666</t>
  </si>
  <si>
    <t xml:space="preserve"> 1.928</t>
  </si>
  <si>
    <t xml:space="preserve"> 14.47%</t>
  </si>
  <si>
    <t xml:space="preserve"> 16.85%</t>
  </si>
  <si>
    <t xml:space="preserve"> 0.277</t>
  </si>
  <si>
    <t xml:space="preserve"> 0.174</t>
  </si>
  <si>
    <t xml:space="preserve"> 12.984</t>
  </si>
  <si>
    <t xml:space="preserve"> 2.54%</t>
  </si>
  <si>
    <t xml:space="preserve"> 23.170</t>
  </si>
  <si>
    <t xml:space="preserve"> 1.335</t>
  </si>
  <si>
    <t xml:space="preserve"> 10.28%</t>
  </si>
  <si>
    <t xml:space="preserve"> 16.86%</t>
  </si>
  <si>
    <t xml:space="preserve"> 0.270</t>
  </si>
  <si>
    <t xml:space="preserve"> 13.016</t>
  </si>
  <si>
    <t xml:space="preserve"> 0.25%</t>
  </si>
  <si>
    <t xml:space="preserve"> 21.709</t>
  </si>
  <si>
    <t xml:space="preserve"> 0.791</t>
  </si>
  <si>
    <t xml:space="preserve"> 6.08%</t>
  </si>
  <si>
    <t xml:space="preserve"> 16.79%</t>
  </si>
  <si>
    <t xml:space="preserve"> 13.732</t>
  </si>
  <si>
    <t xml:space="preserve"> 5.5%</t>
  </si>
  <si>
    <t xml:space="preserve"> 22.667</t>
  </si>
  <si>
    <t xml:space="preserve"> 0.584</t>
  </si>
  <si>
    <t xml:space="preserve"> 4.25%</t>
  </si>
  <si>
    <t xml:space="preserve"> 17.44%</t>
  </si>
  <si>
    <t xml:space="preserve"> 0.290</t>
  </si>
  <si>
    <t xml:space="preserve"> 13.966</t>
  </si>
  <si>
    <t xml:space="preserve"> 22.916</t>
  </si>
  <si>
    <t xml:space="preserve"> 0.417</t>
  </si>
  <si>
    <t xml:space="preserve"> 2.99%</t>
  </si>
  <si>
    <t xml:space="preserve"> 17.26%</t>
  </si>
  <si>
    <t xml:space="preserve"> 0.288</t>
  </si>
  <si>
    <t xml:space="preserve"> 0.175</t>
  </si>
  <si>
    <t xml:space="preserve"> 14.111</t>
  </si>
  <si>
    <t xml:space="preserve"> 23.118</t>
  </si>
  <si>
    <t xml:space="preserve"> 0.266</t>
  </si>
  <si>
    <t xml:space="preserve"> 1.89%</t>
  </si>
  <si>
    <t xml:space="preserve"> 17.48%</t>
  </si>
  <si>
    <t xml:space="preserve"> 0.286</t>
  </si>
  <si>
    <t xml:space="preserve"> 14.060</t>
  </si>
  <si>
    <t xml:space="preserve"> 23.127</t>
  </si>
  <si>
    <t xml:space="preserve"> 11.65%</t>
  </si>
  <si>
    <t xml:space="preserve"> 0.67%</t>
  </si>
  <si>
    <t xml:space="preserve"> 0.0%</t>
  </si>
  <si>
    <t xml:space="preserve"> 0.154</t>
  </si>
  <si>
    <t xml:space="preserve"> 17.68%</t>
  </si>
  <si>
    <t xml:space="preserve"> 1.52%</t>
  </si>
  <si>
    <t xml:space="preserve"> 0.176</t>
  </si>
  <si>
    <t xml:space="preserve"> 14.331</t>
  </si>
  <si>
    <t xml:space="preserve"> 1.93%</t>
  </si>
  <si>
    <t xml:space="preserve"> 23.466</t>
  </si>
  <si>
    <t xml:space="preserve"> 0.135</t>
  </si>
  <si>
    <t xml:space="preserve"> 17.7%</t>
  </si>
  <si>
    <t xml:space="preserve"> 14.318</t>
  </si>
  <si>
    <t xml:space="preserve"> 23.434</t>
  </si>
  <si>
    <t xml:space="preserve"> 0.11</t>
  </si>
  <si>
    <t xml:space="preserve"> 0.77%</t>
  </si>
  <si>
    <t xml:space="preserve"> 17.64%</t>
  </si>
  <si>
    <t xml:space="preserve"> 14.353</t>
  </si>
  <si>
    <t xml:space="preserve"> 23.497</t>
  </si>
  <si>
    <t xml:space="preserve"> 0.102</t>
  </si>
  <si>
    <t xml:space="preserve"> 0.71%</t>
  </si>
  <si>
    <t xml:space="preserve"> 17.62%</t>
  </si>
  <si>
    <t xml:space="preserve"> 0.296</t>
  </si>
  <si>
    <t xml:space="preserve"> 14.410</t>
  </si>
  <si>
    <t xml:space="preserve"> 0.4%</t>
  </si>
  <si>
    <t xml:space="preserve"> 23.580</t>
  </si>
  <si>
    <t xml:space="preserve"> 0.096</t>
  </si>
  <si>
    <t xml:space="preserve"> 17.61%</t>
  </si>
  <si>
    <t xml:space="preserve"> 0.295</t>
  </si>
  <si>
    <t xml:space="preserve"> 14.354</t>
  </si>
  <si>
    <t xml:space="preserve"> 23.484</t>
  </si>
  <si>
    <t xml:space="preserve"> 0.6%</t>
  </si>
  <si>
    <t xml:space="preserve"> 14.372</t>
  </si>
  <si>
    <t xml:space="preserve"> 0.13%</t>
  </si>
  <si>
    <t xml:space="preserve"> 23.525</t>
  </si>
  <si>
    <t xml:space="preserve"> 0.061</t>
  </si>
  <si>
    <t xml:space="preserve"> 0.42%</t>
  </si>
  <si>
    <t xml:space="preserve"> 0.036</t>
  </si>
  <si>
    <t xml:space="preserve"> 0.030</t>
  </si>
  <si>
    <t xml:space="preserve"> 0.990</t>
  </si>
  <si>
    <t xml:space="preserve"> 1.887</t>
  </si>
  <si>
    <t xml:space="preserve"> 1.537</t>
  </si>
  <si>
    <t xml:space="preserve"> 155.27%</t>
  </si>
  <si>
    <t xml:space="preserve"> 6.0%</t>
  </si>
  <si>
    <t xml:space="preserve"> 0.011</t>
  </si>
  <si>
    <t xml:space="preserve"> 0.037</t>
  </si>
  <si>
    <t xml:space="preserve"> 0.351</t>
  </si>
  <si>
    <t xml:space="preserve"> 64.55%</t>
  </si>
  <si>
    <t xml:space="preserve"> 1.038</t>
  </si>
  <si>
    <t xml:space="preserve"> 0.378</t>
  </si>
  <si>
    <t xml:space="preserve"> 107.73%</t>
  </si>
  <si>
    <t xml:space="preserve"> 1.67%</t>
  </si>
  <si>
    <t xml:space="preserve"> 0.012</t>
  </si>
  <si>
    <t xml:space="preserve"> 0.033</t>
  </si>
  <si>
    <t xml:space="preserve"> 23.93%</t>
  </si>
  <si>
    <t xml:space="preserve"> 1.201</t>
  </si>
  <si>
    <t xml:space="preserve"> 0.309</t>
  </si>
  <si>
    <t xml:space="preserve"> 71.12%</t>
  </si>
  <si>
    <t xml:space="preserve"> 8.5%</t>
  </si>
  <si>
    <t xml:space="preserve"> 0.85%</t>
  </si>
  <si>
    <t xml:space="preserve"> 0.007</t>
  </si>
  <si>
    <t xml:space="preserve"> 0.028</t>
  </si>
  <si>
    <t xml:space="preserve"> 0.312</t>
  </si>
  <si>
    <t xml:space="preserve"> 28.28%</t>
  </si>
  <si>
    <t xml:space="preserve"> 0.980</t>
  </si>
  <si>
    <t xml:space="preserve"> 0.179</t>
  </si>
  <si>
    <t xml:space="preserve"> 57.21%</t>
  </si>
  <si>
    <t xml:space="preserve"> 7.6%</t>
  </si>
  <si>
    <t xml:space="preserve"> 0.009</t>
  </si>
  <si>
    <t xml:space="preserve"> 0.399</t>
  </si>
  <si>
    <t xml:space="preserve"> 27.88%</t>
  </si>
  <si>
    <t xml:space="preserve"> 1.117</t>
  </si>
  <si>
    <t xml:space="preserve"> 0.129</t>
  </si>
  <si>
    <t xml:space="preserve"> 32.25%</t>
  </si>
  <si>
    <t xml:space="preserve"> 7.7%</t>
  </si>
  <si>
    <t xml:space="preserve"> 0.010</t>
  </si>
  <si>
    <t xml:space="preserve"> 0.027</t>
  </si>
  <si>
    <t xml:space="preserve"> 9.77%</t>
  </si>
  <si>
    <t xml:space="preserve"> 1.165</t>
  </si>
  <si>
    <t xml:space="preserve"> 0.095</t>
  </si>
  <si>
    <t xml:space="preserve"> 21.67%</t>
  </si>
  <si>
    <t xml:space="preserve"> 7.3%</t>
  </si>
  <si>
    <t xml:space="preserve"> 0.026</t>
  </si>
  <si>
    <t xml:space="preserve"> 0.529</t>
  </si>
  <si>
    <t xml:space="preserve"> 20.78%</t>
  </si>
  <si>
    <t xml:space="preserve"> 1.426</t>
  </si>
  <si>
    <t xml:space="preserve"> 0.082</t>
  </si>
  <si>
    <t xml:space="preserve"> 15.53%</t>
  </si>
  <si>
    <t xml:space="preserve"> 7.72%</t>
  </si>
  <si>
    <t xml:space="preserve"> 5.29%</t>
  </si>
  <si>
    <t xml:space="preserve"> 1.356</t>
  </si>
  <si>
    <t xml:space="preserve"> 0.049</t>
  </si>
  <si>
    <t xml:space="preserve"> 9.86%</t>
  </si>
  <si>
    <t xml:space="preserve"> 7.77%</t>
  </si>
  <si>
    <t xml:space="preserve"> 0.025</t>
  </si>
  <si>
    <t xml:space="preserve"> 0.523</t>
  </si>
  <si>
    <t xml:space="preserve"> 4.39%</t>
  </si>
  <si>
    <t xml:space="preserve"> 1.430</t>
  </si>
  <si>
    <t xml:space="preserve"> 7.04%</t>
  </si>
  <si>
    <t xml:space="preserve"> 8.07%</t>
  </si>
  <si>
    <t xml:space="preserve"> 0.540</t>
  </si>
  <si>
    <t xml:space="preserve"> 3.25%</t>
  </si>
  <si>
    <t xml:space="preserve"> 1.480</t>
  </si>
  <si>
    <t xml:space="preserve"> 4.99%</t>
  </si>
  <si>
    <t xml:space="preserve"> 0.017</t>
  </si>
  <si>
    <t xml:space="preserve"> 3.16%</t>
  </si>
  <si>
    <t xml:space="preserve"> 7.92%</t>
  </si>
  <si>
    <t xml:space="preserve"> 0.541</t>
  </si>
  <si>
    <t xml:space="preserve"> 1.498</t>
  </si>
  <si>
    <t xml:space="preserve"> 2.26%</t>
  </si>
  <si>
    <t xml:space="preserve"> 8.01%</t>
  </si>
  <si>
    <t xml:space="preserve"> 0.548</t>
  </si>
  <si>
    <t xml:space="preserve"> 1.29%</t>
  </si>
  <si>
    <t xml:space="preserve"> 1.508</t>
  </si>
  <si>
    <t xml:space="preserve"> 0.01</t>
  </si>
  <si>
    <t xml:space="preserve"> 1.83%</t>
  </si>
  <si>
    <t xml:space="preserve"> 7.98%</t>
  </si>
  <si>
    <t xml:space="preserve"> 1.504</t>
  </si>
  <si>
    <t xml:space="preserve"> 1.58%</t>
  </si>
  <si>
    <t xml:space="preserve"> 7.95%</t>
  </si>
  <si>
    <t xml:space="preserve"> 0.553</t>
  </si>
  <si>
    <t xml:space="preserve"> 0.91%</t>
  </si>
  <si>
    <t xml:space="preserve"> 1.512</t>
  </si>
  <si>
    <t xml:space="preserve"> 7.93%</t>
  </si>
  <si>
    <t xml:space="preserve"> 0.551</t>
  </si>
  <si>
    <t xml:space="preserve"> 7.91%</t>
  </si>
  <si>
    <t xml:space="preserve"> 0.552</t>
  </si>
  <si>
    <t xml:space="preserve"> 1.511</t>
  </si>
  <si>
    <t xml:space="preserve"> 0.006</t>
  </si>
  <si>
    <t xml:space="preserve"> 7.89%</t>
  </si>
  <si>
    <t xml:space="preserve"> 1.509</t>
  </si>
  <si>
    <t xml:space="preserve"> 0.005</t>
  </si>
  <si>
    <t xml:space="preserve"> 0.550</t>
  </si>
  <si>
    <t xml:space="preserve"> 0.004</t>
  </si>
  <si>
    <t>Вероятность потери</t>
  </si>
  <si>
    <t>Вариант 1</t>
  </si>
  <si>
    <t>Вариант 2</t>
  </si>
  <si>
    <t>Вариант 3</t>
  </si>
  <si>
    <t>Вариант 4</t>
  </si>
  <si>
    <t>Вариант 5</t>
  </si>
  <si>
    <t>Вариант 6</t>
  </si>
  <si>
    <t>Вариант 7</t>
  </si>
  <si>
    <t>Вариант 8</t>
  </si>
  <si>
    <t>Вариант 9</t>
  </si>
  <si>
    <t>Длина очереди</t>
  </si>
  <si>
    <t>Загрузка</t>
  </si>
  <si>
    <t>Ср. время ож.</t>
  </si>
  <si>
    <t>Производительность</t>
  </si>
  <si>
    <t>Коэффициент простоя системы</t>
  </si>
  <si>
    <t>Время пребывания</t>
  </si>
  <si>
    <t>Время ожидания</t>
  </si>
  <si>
    <t>УИР 2</t>
  </si>
  <si>
    <t>Модель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</si>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</sst>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7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Вероятность потери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Графики!$A$2:$A$10</c:f>
              <c:strCache>
                <c:ptCount val="9"/>
                <c:pt idx="0">
                  <c:v>Вариант 1</c:v>
                </c:pt>
                <c:pt idx="1">
                  <c:v>Вариант 2</c:v>
                </c:pt>
                <c:pt idx="2">
                  <c:v>Вариант 3</c:v>
                </c:pt>
                <c:pt idx="3">
                  <c:v>Вариант 4</c:v>
                </c:pt>
                <c:pt idx="4">
                  <c:v>Вариант 5</c:v>
                </c:pt>
                <c:pt idx="5">
                  <c:v>Вариант 6</c:v>
                </c:pt>
                <c:pt idx="6">
                  <c:v>Вариант 7</c:v>
                </c:pt>
                <c:pt idx="7">
                  <c:v>Вариант 8</c:v>
                </c:pt>
                <c:pt idx="8">
                  <c:v>Вариант 9</c:v>
                </c:pt>
              </c:strCache>
            </c:strRef>
          </c:cat>
          <c:val>
            <c:numRef>
              <c:f>Графики!$B$2:$B$10</c:f>
              <c:numCache>
                <c:formatCode>General</c:formatCode>
                <c:ptCount val="9"/>
                <c:pt idx="0">
                  <c:v>25.364736842105255</c:v>
                </c:pt>
                <c:pt idx="1">
                  <c:v>54.727894736842096</c:v>
                </c:pt>
                <c:pt idx="2">
                  <c:v>509.68631578947361</c:v>
                </c:pt>
                <c:pt idx="3">
                  <c:v>22.833684210526318</c:v>
                </c:pt>
                <c:pt idx="4">
                  <c:v>22.833684210526318</c:v>
                </c:pt>
                <c:pt idx="5">
                  <c:v>16.920526315789473</c:v>
                </c:pt>
                <c:pt idx="6">
                  <c:v>22.833684210526318</c:v>
                </c:pt>
                <c:pt idx="7">
                  <c:v>8.0094736842105263</c:v>
                </c:pt>
                <c:pt idx="8">
                  <c:v>21.766842105263155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8-E74C-9348-BB961BCF6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200143"/>
        <c:axId val="308252735"/>
      </c:barChart>
      <c:catAx>
        <c:axId val="30820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8252735"/>
        <c:crosses val="autoZero"/>
        <c:auto val="1"/>
        <c:lblAlgn val="ctr"/>
        <c:lblOffset val="100"/>
        <c:noMultiLvlLbl val="0"/>
      </c:catAx>
      <c:valAx>
        <c:axId val="30825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820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Длина</a:t>
            </a:r>
            <a:r>
              <a:rPr lang="ru-RU" baseline="0"/>
              <a:t> очереди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Графики!$A$2:$A$10</c:f>
              <c:strCache>
                <c:ptCount val="9"/>
                <c:pt idx="0">
                  <c:v>Вариант 1</c:v>
                </c:pt>
                <c:pt idx="1">
                  <c:v>Вариант 2</c:v>
                </c:pt>
                <c:pt idx="2">
                  <c:v>Вариант 3</c:v>
                </c:pt>
                <c:pt idx="3">
                  <c:v>Вариант 4</c:v>
                </c:pt>
                <c:pt idx="4">
                  <c:v>Вариант 5</c:v>
                </c:pt>
                <c:pt idx="5">
                  <c:v>Вариант 6</c:v>
                </c:pt>
                <c:pt idx="6">
                  <c:v>Вариант 7</c:v>
                </c:pt>
                <c:pt idx="7">
                  <c:v>Вариант 8</c:v>
                </c:pt>
                <c:pt idx="8">
                  <c:v>Вариант 9</c:v>
                </c:pt>
              </c:strCache>
            </c:strRef>
          </c:cat>
          <c:val>
            <c:numRef>
              <c:f>Графики!$C$2:$C$10</c:f>
              <c:numCache>
                <c:formatCode>General</c:formatCode>
                <c:ptCount val="9"/>
                <c:pt idx="0">
                  <c:v>0.47889473684210526</c:v>
                </c:pt>
                <c:pt idx="1">
                  <c:v>0.92347368421052634</c:v>
                </c:pt>
                <c:pt idx="2">
                  <c:v>1.794157894736842</c:v>
                </c:pt>
                <c:pt idx="3">
                  <c:v>0.1888947368421052</c:v>
                </c:pt>
                <c:pt idx="4">
                  <c:v>0.1888947368421052</c:v>
                </c:pt>
                <c:pt idx="5">
                  <c:v>0.30099999999999999</c:v>
                </c:pt>
                <c:pt idx="6">
                  <c:v>0.1888947368421052</c:v>
                </c:pt>
                <c:pt idx="7">
                  <c:v>1.1947368421052635E-2</c:v>
                </c:pt>
                <c:pt idx="8">
                  <c:v>0.43721052631578938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C-8C4A-95CB-17BAEEEC6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403455"/>
        <c:axId val="284391935"/>
      </c:barChart>
      <c:catAx>
        <c:axId val="28440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391935"/>
        <c:crosses val="autoZero"/>
        <c:auto val="1"/>
        <c:lblAlgn val="ctr"/>
        <c:lblOffset val="100"/>
        <c:noMultiLvlLbl val="0"/>
      </c:catAx>
      <c:valAx>
        <c:axId val="2843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40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Загрузка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Графики!$A$2:$A$10</c:f>
              <c:strCache>
                <c:ptCount val="9"/>
                <c:pt idx="0">
                  <c:v>Вариант 1</c:v>
                </c:pt>
                <c:pt idx="1">
                  <c:v>Вариант 2</c:v>
                </c:pt>
                <c:pt idx="2">
                  <c:v>Вариант 3</c:v>
                </c:pt>
                <c:pt idx="3">
                  <c:v>Вариант 4</c:v>
                </c:pt>
                <c:pt idx="4">
                  <c:v>Вариант 5</c:v>
                </c:pt>
                <c:pt idx="5">
                  <c:v>Вариант 6</c:v>
                </c:pt>
                <c:pt idx="6">
                  <c:v>Вариант 7</c:v>
                </c:pt>
                <c:pt idx="7">
                  <c:v>Вариант 8</c:v>
                </c:pt>
                <c:pt idx="8">
                  <c:v>Вариант 9</c:v>
                </c:pt>
              </c:strCache>
            </c:strRef>
          </c:cat>
          <c:val>
            <c:numRef>
              <c:f>Графики!$D$2:$D$10</c:f>
              <c:numCache>
                <c:formatCode>General</c:formatCode>
                <c:ptCount val="9"/>
                <c:pt idx="0">
                  <c:v>0.37794736842105264</c:v>
                </c:pt>
                <c:pt idx="1">
                  <c:v>0.50673684210526315</c:v>
                </c:pt>
                <c:pt idx="2">
                  <c:v>0.83699999999999986</c:v>
                </c:pt>
                <c:pt idx="3">
                  <c:v>0.17684210526315788</c:v>
                </c:pt>
                <c:pt idx="4">
                  <c:v>0.17684210526315788</c:v>
                </c:pt>
                <c:pt idx="5">
                  <c:v>0.18384210526315789</c:v>
                </c:pt>
                <c:pt idx="6">
                  <c:v>0.17684210526315788</c:v>
                </c:pt>
                <c:pt idx="7">
                  <c:v>2.7263157894736854E-2</c:v>
                </c:pt>
                <c:pt idx="8">
                  <c:v>0.38221052631578939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4-BA4E-97BD-5E2837EB4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369839"/>
        <c:axId val="284371551"/>
      </c:barChart>
      <c:catAx>
        <c:axId val="28436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371551"/>
        <c:crosses val="autoZero"/>
        <c:auto val="1"/>
        <c:lblAlgn val="ctr"/>
        <c:lblOffset val="100"/>
        <c:noMultiLvlLbl val="0"/>
      </c:catAx>
      <c:valAx>
        <c:axId val="28437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36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Среднее</a:t>
            </a:r>
            <a:r>
              <a:rPr lang="ru-RU" baseline="0"/>
              <a:t> время ожидания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Графики!$A$2:$A$10</c:f>
              <c:strCache>
                <c:ptCount val="9"/>
                <c:pt idx="0">
                  <c:v>Вариант 1</c:v>
                </c:pt>
                <c:pt idx="1">
                  <c:v>Вариант 2</c:v>
                </c:pt>
                <c:pt idx="2">
                  <c:v>Вариант 3</c:v>
                </c:pt>
                <c:pt idx="3">
                  <c:v>Вариант 4</c:v>
                </c:pt>
                <c:pt idx="4">
                  <c:v>Вариант 5</c:v>
                </c:pt>
                <c:pt idx="5">
                  <c:v>Вариант 6</c:v>
                </c:pt>
                <c:pt idx="6">
                  <c:v>Вариант 7</c:v>
                </c:pt>
                <c:pt idx="7">
                  <c:v>Вариант 8</c:v>
                </c:pt>
                <c:pt idx="8">
                  <c:v>Вариант 9</c:v>
                </c:pt>
              </c:strCache>
            </c:strRef>
          </c:cat>
          <c:val>
            <c:numRef>
              <c:f>Графики!$E$2:$E$10</c:f>
              <c:numCache>
                <c:formatCode>General</c:formatCode>
                <c:ptCount val="9"/>
                <c:pt idx="0">
                  <c:v>11.296473684210527</c:v>
                </c:pt>
                <c:pt idx="1">
                  <c:v>27.670736842105264</c:v>
                </c:pt>
                <c:pt idx="2">
                  <c:v>24.622315789473681</c:v>
                </c:pt>
                <c:pt idx="3">
                  <c:v>8.8675789473684201</c:v>
                </c:pt>
                <c:pt idx="4">
                  <c:v>8.8675789473684201</c:v>
                </c:pt>
                <c:pt idx="5">
                  <c:v>13.422368421052633</c:v>
                </c:pt>
                <c:pt idx="6">
                  <c:v>8.8675789473684201</c:v>
                </c:pt>
                <c:pt idx="7">
                  <c:v>0.52384210526315789</c:v>
                </c:pt>
                <c:pt idx="8">
                  <c:v>10.067894736842105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E-FA41-8AE3-0F029F546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326207"/>
        <c:axId val="284311439"/>
      </c:barChart>
      <c:catAx>
        <c:axId val="28432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311439"/>
        <c:crosses val="autoZero"/>
        <c:auto val="1"/>
        <c:lblAlgn val="ctr"/>
        <c:lblOffset val="100"/>
        <c:noMultiLvlLbl val="0"/>
      </c:catAx>
      <c:valAx>
        <c:axId val="28431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32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25400</xdr:rowOff>
    </xdr:from>
    <xdr:to>
      <xdr:col>12</xdr:col>
      <xdr:colOff>463550</xdr:colOff>
      <xdr:row>14</xdr:row>
      <xdr:rowOff>127000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CA94CC6-2926-234D-9643-2EC9FFA11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15</xdr:row>
      <xdr:rowOff>152400</xdr:rowOff>
    </xdr:from>
    <xdr:to>
      <xdr:col>12</xdr:col>
      <xdr:colOff>457200</xdr:colOff>
      <xdr:row>29</xdr:row>
      <xdr:rowOff>50800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DF73DB7-03D7-7270-F841-30BBBC5B9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</xdr:colOff>
      <xdr:row>30</xdr:row>
      <xdr:rowOff>38100</xdr:rowOff>
    </xdr:from>
    <xdr:to>
      <xdr:col>12</xdr:col>
      <xdr:colOff>463550</xdr:colOff>
      <xdr:row>43</xdr:row>
      <xdr:rowOff>139700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41D7FDB-F07B-D620-D965-AD60D9DB3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44</xdr:row>
      <xdr:rowOff>177800</xdr:rowOff>
    </xdr:from>
    <xdr:to>
      <xdr:col>12</xdr:col>
      <xdr:colOff>444500</xdr:colOff>
      <xdr:row>58</xdr:row>
      <xdr:rowOff>76200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14DC2E7-E5D7-6832-8D58-6FD6DF751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9E2F-E97C-3E4C-8DDB-9F703CC29409}">
  <dimension ref="A1:D10"/>
  <sheetViews>
    <sheetView tabSelected="1" workbookViewId="0">
      <selection activeCell="C8" sqref="C8"/>
    </sheetView>
  </sheetViews>
  <sheetFormatPr baseColWidth="10" defaultRowHeight="16" x14ac:dyDescent="0.2"/>
  <cols>
    <col min="1" max="1" width="27.33203125" customWidth="1"/>
  </cols>
  <sheetData>
    <row r="1" spans="1:4" x14ac:dyDescent="0.2">
      <c r="B1" t="s">
        <v>890</v>
      </c>
      <c r="C1" t="s">
        <v>891</v>
      </c>
      <c r="D1" t="s">
        <v>892</v>
      </c>
    </row>
    <row r="2" spans="1:4" x14ac:dyDescent="0.2">
      <c r="A2" t="s">
        <v>884</v>
      </c>
      <c r="B2">
        <v>0.63170000000000004</v>
      </c>
      <c r="C2" s="3">
        <f>(0.948+0.395+0.602)/3</f>
        <v>0.64833333333333332</v>
      </c>
      <c r="D2">
        <f>((C2-B2)/B2)*100</f>
        <v>2.6331064323782298</v>
      </c>
    </row>
    <row r="3" spans="1:4" x14ac:dyDescent="0.2">
      <c r="A3" t="s">
        <v>873</v>
      </c>
      <c r="B3">
        <v>0.54039999999999999</v>
      </c>
      <c r="C3">
        <f>11907/21204</f>
        <v>0.56154499151103565</v>
      </c>
      <c r="D3" s="2">
        <f>((C3-B3)/B3)*100</f>
        <v>3.9128407681413138</v>
      </c>
    </row>
    <row r="4" spans="1:4" x14ac:dyDescent="0.2">
      <c r="A4" t="s">
        <v>883</v>
      </c>
      <c r="B4">
        <v>1.3811</v>
      </c>
      <c r="C4">
        <v>1.401</v>
      </c>
      <c r="D4" s="2">
        <f t="shared" ref="D4:D10" si="0">((C4-B4)/B4)*100</f>
        <v>1.4408804576062579</v>
      </c>
    </row>
    <row r="5" spans="1:4" x14ac:dyDescent="0.2">
      <c r="A5" t="s">
        <v>886</v>
      </c>
      <c r="B5">
        <v>0.13789999999999999</v>
      </c>
      <c r="C5">
        <f>(21204-11907)/70656.161</f>
        <v>0.13158088223898834</v>
      </c>
      <c r="D5" s="2">
        <f t="shared" si="0"/>
        <v>-4.5823914148017808</v>
      </c>
    </row>
    <row r="6" spans="1:4" x14ac:dyDescent="0.2">
      <c r="A6" t="s">
        <v>887</v>
      </c>
      <c r="B6">
        <v>0.36830000000000002</v>
      </c>
      <c r="C6" s="3">
        <f>1-C2</f>
        <v>0.35166666666666668</v>
      </c>
      <c r="D6" s="2">
        <f t="shared" si="0"/>
        <v>-4.5162458141008237</v>
      </c>
    </row>
    <row r="7" spans="1:4" x14ac:dyDescent="0.2">
      <c r="A7" t="s">
        <v>888</v>
      </c>
      <c r="B7">
        <v>25.0169</v>
      </c>
      <c r="C7">
        <v>25.428999999999998</v>
      </c>
      <c r="D7" s="2">
        <f t="shared" si="0"/>
        <v>1.6472864343703608</v>
      </c>
    </row>
    <row r="8" spans="1:4" x14ac:dyDescent="0.2">
      <c r="A8" t="s">
        <v>889</v>
      </c>
      <c r="B8">
        <v>10.0169</v>
      </c>
      <c r="C8">
        <f>(4520*21.905)/(4518+1879+2898)</f>
        <v>10.652027972027973</v>
      </c>
      <c r="D8" s="2">
        <f t="shared" si="0"/>
        <v>6.3405641668377779</v>
      </c>
    </row>
    <row r="9" spans="1:4" x14ac:dyDescent="0.2">
      <c r="D9" s="2"/>
    </row>
    <row r="10" spans="1:4" x14ac:dyDescent="0.2">
      <c r="D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F0D5-FC9F-624C-8915-249F25F7FEB3}">
  <dimension ref="A1:K19"/>
  <sheetViews>
    <sheetView workbookViewId="0">
      <selection activeCell="F1" sqref="F1"/>
    </sheetView>
  </sheetViews>
  <sheetFormatPr baseColWidth="10" defaultRowHeight="16" x14ac:dyDescent="0.2"/>
  <sheetData>
    <row r="1" spans="1:11" x14ac:dyDescent="0.2">
      <c r="A1">
        <v>10</v>
      </c>
      <c r="B1">
        <v>2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145</v>
      </c>
      <c r="I1" t="s">
        <v>149</v>
      </c>
      <c r="J1" t="s">
        <v>150</v>
      </c>
      <c r="K1" t="s">
        <v>151</v>
      </c>
    </row>
    <row r="2" spans="1:11" x14ac:dyDescent="0.2">
      <c r="A2">
        <v>50</v>
      </c>
      <c r="B2">
        <v>10</v>
      </c>
      <c r="C2" t="s">
        <v>144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</row>
    <row r="3" spans="1:11" x14ac:dyDescent="0.2">
      <c r="A3">
        <v>100</v>
      </c>
      <c r="B3">
        <v>20</v>
      </c>
      <c r="C3" t="s">
        <v>144</v>
      </c>
      <c r="D3" t="s">
        <v>152</v>
      </c>
      <c r="E3" t="s">
        <v>160</v>
      </c>
      <c r="F3" t="s">
        <v>161</v>
      </c>
      <c r="G3" t="s">
        <v>162</v>
      </c>
      <c r="H3" t="s">
        <v>163</v>
      </c>
      <c r="I3" t="s">
        <v>164</v>
      </c>
      <c r="J3" t="s">
        <v>165</v>
      </c>
      <c r="K3" t="s">
        <v>166</v>
      </c>
    </row>
    <row r="4" spans="1:11" x14ac:dyDescent="0.2">
      <c r="A4">
        <v>200</v>
      </c>
      <c r="B4">
        <v>37</v>
      </c>
      <c r="C4" t="s">
        <v>167</v>
      </c>
      <c r="D4" t="s">
        <v>168</v>
      </c>
      <c r="E4" t="s">
        <v>169</v>
      </c>
      <c r="F4" t="s">
        <v>170</v>
      </c>
      <c r="G4" t="s">
        <v>171</v>
      </c>
      <c r="H4" t="s">
        <v>172</v>
      </c>
      <c r="I4" t="s">
        <v>173</v>
      </c>
      <c r="J4" t="s">
        <v>174</v>
      </c>
      <c r="K4" t="s">
        <v>175</v>
      </c>
    </row>
    <row r="5" spans="1:11" x14ac:dyDescent="0.2">
      <c r="A5">
        <v>500</v>
      </c>
      <c r="B5">
        <v>124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184</v>
      </c>
    </row>
    <row r="6" spans="1:11" x14ac:dyDescent="0.2">
      <c r="A6">
        <v>1000</v>
      </c>
      <c r="B6">
        <v>228</v>
      </c>
      <c r="C6" t="s">
        <v>185</v>
      </c>
      <c r="D6" t="s">
        <v>186</v>
      </c>
      <c r="E6" t="s">
        <v>187</v>
      </c>
      <c r="F6" t="s">
        <v>188</v>
      </c>
      <c r="G6" t="s">
        <v>189</v>
      </c>
      <c r="H6" t="s">
        <v>190</v>
      </c>
      <c r="I6" t="s">
        <v>191</v>
      </c>
      <c r="J6" t="s">
        <v>192</v>
      </c>
      <c r="K6" t="s">
        <v>193</v>
      </c>
    </row>
    <row r="7" spans="1:11" x14ac:dyDescent="0.2">
      <c r="A7">
        <v>2000</v>
      </c>
      <c r="B7">
        <v>489</v>
      </c>
      <c r="C7" t="s">
        <v>194</v>
      </c>
      <c r="D7" t="s">
        <v>195</v>
      </c>
      <c r="E7" t="s">
        <v>196</v>
      </c>
      <c r="F7" t="s">
        <v>197</v>
      </c>
      <c r="G7" t="s">
        <v>198</v>
      </c>
      <c r="H7" t="s">
        <v>199</v>
      </c>
      <c r="I7" t="s">
        <v>200</v>
      </c>
      <c r="J7" t="s">
        <v>201</v>
      </c>
      <c r="K7" t="s">
        <v>202</v>
      </c>
    </row>
    <row r="8" spans="1:11" x14ac:dyDescent="0.2">
      <c r="A8">
        <v>5000</v>
      </c>
      <c r="B8">
        <v>1315</v>
      </c>
      <c r="C8" t="s">
        <v>203</v>
      </c>
      <c r="D8" t="s">
        <v>204</v>
      </c>
      <c r="E8" t="s">
        <v>160</v>
      </c>
      <c r="F8" t="s">
        <v>205</v>
      </c>
      <c r="G8" t="s">
        <v>206</v>
      </c>
      <c r="H8" t="s">
        <v>207</v>
      </c>
      <c r="I8" t="s">
        <v>208</v>
      </c>
      <c r="J8" t="s">
        <v>209</v>
      </c>
      <c r="K8" t="s">
        <v>210</v>
      </c>
    </row>
    <row r="9" spans="1:11" x14ac:dyDescent="0.2">
      <c r="A9">
        <v>10000</v>
      </c>
      <c r="B9">
        <v>2679</v>
      </c>
      <c r="C9" t="s">
        <v>211</v>
      </c>
      <c r="D9" t="s">
        <v>212</v>
      </c>
      <c r="E9" t="s">
        <v>213</v>
      </c>
      <c r="F9" t="s">
        <v>214</v>
      </c>
      <c r="G9" t="s">
        <v>215</v>
      </c>
      <c r="H9" t="s">
        <v>216</v>
      </c>
      <c r="I9" t="s">
        <v>217</v>
      </c>
      <c r="J9" t="s">
        <v>218</v>
      </c>
      <c r="K9" t="s">
        <v>219</v>
      </c>
    </row>
    <row r="10" spans="1:11" x14ac:dyDescent="0.2">
      <c r="A10">
        <v>20000</v>
      </c>
      <c r="B10">
        <v>5442</v>
      </c>
      <c r="C10" t="s">
        <v>220</v>
      </c>
      <c r="D10" t="s">
        <v>212</v>
      </c>
      <c r="E10" t="s">
        <v>221</v>
      </c>
      <c r="F10" t="s">
        <v>214</v>
      </c>
      <c r="G10" t="s">
        <v>222</v>
      </c>
      <c r="H10" t="s">
        <v>223</v>
      </c>
      <c r="I10" t="s">
        <v>224</v>
      </c>
      <c r="J10" t="s">
        <v>147</v>
      </c>
      <c r="K10" t="s">
        <v>225</v>
      </c>
    </row>
    <row r="11" spans="1:11" x14ac:dyDescent="0.2">
      <c r="A11">
        <v>50000</v>
      </c>
      <c r="B11">
        <v>13933</v>
      </c>
      <c r="C11" t="s">
        <v>226</v>
      </c>
      <c r="D11" t="s">
        <v>212</v>
      </c>
      <c r="E11" t="s">
        <v>227</v>
      </c>
      <c r="F11" t="s">
        <v>228</v>
      </c>
      <c r="G11" t="s">
        <v>229</v>
      </c>
      <c r="H11" t="s">
        <v>230</v>
      </c>
      <c r="I11" t="s">
        <v>231</v>
      </c>
      <c r="J11" t="s">
        <v>232</v>
      </c>
      <c r="K11" t="s">
        <v>233</v>
      </c>
    </row>
    <row r="12" spans="1:11" x14ac:dyDescent="0.2">
      <c r="A12">
        <v>100000</v>
      </c>
      <c r="B12">
        <v>27629</v>
      </c>
      <c r="C12" t="s">
        <v>234</v>
      </c>
      <c r="D12" t="s">
        <v>235</v>
      </c>
      <c r="E12" t="s">
        <v>236</v>
      </c>
      <c r="F12" t="s">
        <v>205</v>
      </c>
      <c r="G12" t="s">
        <v>237</v>
      </c>
      <c r="H12" t="s">
        <v>238</v>
      </c>
      <c r="I12" t="s">
        <v>239</v>
      </c>
      <c r="J12" t="s">
        <v>240</v>
      </c>
      <c r="K12" t="s">
        <v>241</v>
      </c>
    </row>
    <row r="13" spans="1:11" x14ac:dyDescent="0.2">
      <c r="A13">
        <v>150000</v>
      </c>
      <c r="B13">
        <v>41752</v>
      </c>
      <c r="C13" t="s">
        <v>242</v>
      </c>
      <c r="D13" t="s">
        <v>243</v>
      </c>
      <c r="E13" t="s">
        <v>244</v>
      </c>
      <c r="F13" t="s">
        <v>228</v>
      </c>
      <c r="G13" t="s">
        <v>245</v>
      </c>
      <c r="H13" t="s">
        <v>246</v>
      </c>
      <c r="I13" t="s">
        <v>247</v>
      </c>
      <c r="J13" t="s">
        <v>248</v>
      </c>
      <c r="K13" t="s">
        <v>235</v>
      </c>
    </row>
    <row r="14" spans="1:11" x14ac:dyDescent="0.2">
      <c r="A14">
        <v>200000</v>
      </c>
      <c r="B14">
        <v>55951</v>
      </c>
      <c r="C14" t="s">
        <v>249</v>
      </c>
      <c r="D14" t="s">
        <v>243</v>
      </c>
      <c r="E14" t="s">
        <v>227</v>
      </c>
      <c r="F14" t="s">
        <v>228</v>
      </c>
      <c r="G14" t="s">
        <v>250</v>
      </c>
      <c r="H14" t="s">
        <v>251</v>
      </c>
      <c r="I14" t="s">
        <v>252</v>
      </c>
      <c r="J14" t="s">
        <v>253</v>
      </c>
      <c r="K14" t="s">
        <v>254</v>
      </c>
    </row>
    <row r="15" spans="1:11" x14ac:dyDescent="0.2">
      <c r="A15">
        <v>300000</v>
      </c>
      <c r="B15">
        <v>83925</v>
      </c>
      <c r="C15" t="s">
        <v>249</v>
      </c>
      <c r="D15" t="s">
        <v>152</v>
      </c>
      <c r="E15" t="s">
        <v>227</v>
      </c>
      <c r="F15" t="s">
        <v>228</v>
      </c>
      <c r="G15" t="s">
        <v>255</v>
      </c>
      <c r="H15" t="s">
        <v>256</v>
      </c>
      <c r="I15" t="s">
        <v>257</v>
      </c>
      <c r="J15" t="s">
        <v>258</v>
      </c>
      <c r="K15" t="s">
        <v>259</v>
      </c>
    </row>
    <row r="16" spans="1:11" x14ac:dyDescent="0.2">
      <c r="A16">
        <v>350000</v>
      </c>
      <c r="B16">
        <v>97714</v>
      </c>
      <c r="C16" t="s">
        <v>260</v>
      </c>
      <c r="D16" t="s">
        <v>152</v>
      </c>
      <c r="E16" t="s">
        <v>221</v>
      </c>
      <c r="F16" t="s">
        <v>205</v>
      </c>
      <c r="G16" t="s">
        <v>261</v>
      </c>
      <c r="H16" t="s">
        <v>262</v>
      </c>
      <c r="I16" t="s">
        <v>263</v>
      </c>
      <c r="J16" t="s">
        <v>264</v>
      </c>
      <c r="K16" t="s">
        <v>265</v>
      </c>
    </row>
    <row r="17" spans="1:11" x14ac:dyDescent="0.2">
      <c r="A17">
        <v>400000</v>
      </c>
      <c r="B17">
        <v>111546</v>
      </c>
      <c r="C17" t="s">
        <v>266</v>
      </c>
      <c r="D17" t="s">
        <v>152</v>
      </c>
      <c r="E17" t="s">
        <v>267</v>
      </c>
      <c r="F17" t="s">
        <v>205</v>
      </c>
      <c r="G17" t="s">
        <v>255</v>
      </c>
      <c r="H17" t="s">
        <v>262</v>
      </c>
      <c r="I17" t="s">
        <v>268</v>
      </c>
      <c r="J17" t="s">
        <v>269</v>
      </c>
      <c r="K17" t="s">
        <v>270</v>
      </c>
    </row>
    <row r="18" spans="1:11" x14ac:dyDescent="0.2">
      <c r="A18">
        <v>500000</v>
      </c>
      <c r="B18">
        <v>139815</v>
      </c>
      <c r="C18" t="s">
        <v>271</v>
      </c>
      <c r="D18" t="s">
        <v>152</v>
      </c>
      <c r="E18" t="s">
        <v>267</v>
      </c>
      <c r="F18" t="s">
        <v>205</v>
      </c>
      <c r="G18" t="s">
        <v>272</v>
      </c>
      <c r="H18" t="s">
        <v>273</v>
      </c>
      <c r="I18" t="s">
        <v>274</v>
      </c>
      <c r="J18" t="s">
        <v>275</v>
      </c>
      <c r="K18" t="s">
        <v>276</v>
      </c>
    </row>
    <row r="19" spans="1:11" x14ac:dyDescent="0.2">
      <c r="A19">
        <v>1000000</v>
      </c>
      <c r="B19">
        <v>280243</v>
      </c>
      <c r="C19" t="s">
        <v>277</v>
      </c>
      <c r="D19" t="s">
        <v>152</v>
      </c>
      <c r="E19" t="s">
        <v>221</v>
      </c>
      <c r="F19" t="s">
        <v>205</v>
      </c>
      <c r="G19" t="s">
        <v>278</v>
      </c>
      <c r="H19" t="s">
        <v>256</v>
      </c>
      <c r="I19" t="s">
        <v>279</v>
      </c>
      <c r="J19" t="s">
        <v>280</v>
      </c>
      <c r="K19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44F6-DF55-144F-B236-550ECDC91961}">
  <dimension ref="A1:K19"/>
  <sheetViews>
    <sheetView workbookViewId="0">
      <selection activeCell="K19" sqref="B1:K19"/>
    </sheetView>
  </sheetViews>
  <sheetFormatPr baseColWidth="10" defaultRowHeight="16" x14ac:dyDescent="0.2"/>
  <sheetData>
    <row r="1" spans="1:11" x14ac:dyDescent="0.2">
      <c r="A1">
        <v>10</v>
      </c>
      <c r="B1">
        <v>3</v>
      </c>
      <c r="C1" t="s">
        <v>282</v>
      </c>
      <c r="D1" t="s">
        <v>145</v>
      </c>
      <c r="E1" t="s">
        <v>283</v>
      </c>
      <c r="F1" t="s">
        <v>284</v>
      </c>
      <c r="G1" t="s">
        <v>285</v>
      </c>
      <c r="H1" t="s">
        <v>145</v>
      </c>
      <c r="I1" t="s">
        <v>286</v>
      </c>
      <c r="J1" t="s">
        <v>287</v>
      </c>
      <c r="K1" t="s">
        <v>288</v>
      </c>
    </row>
    <row r="2" spans="1:11" x14ac:dyDescent="0.2">
      <c r="A2">
        <v>50</v>
      </c>
      <c r="B2">
        <v>26</v>
      </c>
      <c r="C2" t="s">
        <v>289</v>
      </c>
      <c r="D2" t="s">
        <v>290</v>
      </c>
      <c r="E2" t="s">
        <v>291</v>
      </c>
      <c r="F2" t="s">
        <v>292</v>
      </c>
      <c r="G2" t="s">
        <v>293</v>
      </c>
      <c r="H2" t="s">
        <v>294</v>
      </c>
      <c r="I2" t="s">
        <v>295</v>
      </c>
      <c r="J2" t="s">
        <v>296</v>
      </c>
      <c r="K2" t="s">
        <v>297</v>
      </c>
    </row>
    <row r="3" spans="1:11" x14ac:dyDescent="0.2">
      <c r="A3">
        <v>100</v>
      </c>
      <c r="B3">
        <v>48</v>
      </c>
      <c r="C3" t="s">
        <v>298</v>
      </c>
      <c r="D3" t="s">
        <v>186</v>
      </c>
      <c r="E3" t="s">
        <v>299</v>
      </c>
      <c r="F3" t="s">
        <v>300</v>
      </c>
      <c r="G3" t="s">
        <v>301</v>
      </c>
      <c r="H3" t="s">
        <v>302</v>
      </c>
      <c r="I3" t="s">
        <v>303</v>
      </c>
      <c r="J3" t="s">
        <v>304</v>
      </c>
      <c r="K3" t="s">
        <v>305</v>
      </c>
    </row>
    <row r="4" spans="1:11" x14ac:dyDescent="0.2">
      <c r="A4">
        <v>200</v>
      </c>
      <c r="B4">
        <v>111</v>
      </c>
      <c r="C4" t="s">
        <v>306</v>
      </c>
      <c r="D4" t="s">
        <v>307</v>
      </c>
      <c r="E4" t="s">
        <v>308</v>
      </c>
      <c r="F4" t="s">
        <v>309</v>
      </c>
      <c r="G4" t="s">
        <v>310</v>
      </c>
      <c r="H4" t="s">
        <v>311</v>
      </c>
      <c r="I4" t="s">
        <v>312</v>
      </c>
      <c r="J4" t="s">
        <v>313</v>
      </c>
      <c r="K4" t="s">
        <v>314</v>
      </c>
    </row>
    <row r="5" spans="1:11" x14ac:dyDescent="0.2">
      <c r="A5">
        <v>500</v>
      </c>
      <c r="B5">
        <v>270</v>
      </c>
      <c r="C5" t="s">
        <v>315</v>
      </c>
      <c r="D5" t="s">
        <v>316</v>
      </c>
      <c r="E5" t="s">
        <v>317</v>
      </c>
      <c r="F5" t="s">
        <v>318</v>
      </c>
      <c r="G5" t="s">
        <v>319</v>
      </c>
      <c r="H5" t="s">
        <v>320</v>
      </c>
      <c r="I5" t="s">
        <v>321</v>
      </c>
      <c r="J5" t="s">
        <v>322</v>
      </c>
      <c r="K5" t="s">
        <v>323</v>
      </c>
    </row>
    <row r="6" spans="1:11" x14ac:dyDescent="0.2">
      <c r="A6">
        <v>1000</v>
      </c>
      <c r="B6">
        <v>520</v>
      </c>
      <c r="C6" t="s">
        <v>289</v>
      </c>
      <c r="D6" t="s">
        <v>324</v>
      </c>
      <c r="E6" t="s">
        <v>325</v>
      </c>
      <c r="F6" t="s">
        <v>326</v>
      </c>
      <c r="G6" t="s">
        <v>327</v>
      </c>
      <c r="H6" t="s">
        <v>233</v>
      </c>
      <c r="I6" t="s">
        <v>328</v>
      </c>
      <c r="J6" t="s">
        <v>329</v>
      </c>
      <c r="K6" t="s">
        <v>330</v>
      </c>
    </row>
    <row r="7" spans="1:11" x14ac:dyDescent="0.2">
      <c r="A7">
        <v>2000</v>
      </c>
      <c r="B7">
        <v>1112</v>
      </c>
      <c r="C7" t="s">
        <v>331</v>
      </c>
      <c r="D7" t="s">
        <v>195</v>
      </c>
      <c r="E7" t="s">
        <v>332</v>
      </c>
      <c r="F7" t="s">
        <v>244</v>
      </c>
      <c r="G7" t="s">
        <v>333</v>
      </c>
      <c r="H7" t="s">
        <v>334</v>
      </c>
      <c r="I7" t="s">
        <v>335</v>
      </c>
      <c r="J7" t="s">
        <v>336</v>
      </c>
      <c r="K7" t="s">
        <v>337</v>
      </c>
    </row>
    <row r="8" spans="1:11" x14ac:dyDescent="0.2">
      <c r="A8">
        <v>5000</v>
      </c>
      <c r="B8">
        <v>2885</v>
      </c>
      <c r="C8" t="s">
        <v>338</v>
      </c>
      <c r="D8" t="s">
        <v>339</v>
      </c>
      <c r="E8" t="s">
        <v>340</v>
      </c>
      <c r="F8" t="s">
        <v>318</v>
      </c>
      <c r="G8" t="s">
        <v>341</v>
      </c>
      <c r="H8" t="s">
        <v>342</v>
      </c>
      <c r="I8" t="s">
        <v>343</v>
      </c>
      <c r="J8" t="s">
        <v>344</v>
      </c>
      <c r="K8" t="s">
        <v>345</v>
      </c>
    </row>
    <row r="9" spans="1:11" x14ac:dyDescent="0.2">
      <c r="A9">
        <v>10000</v>
      </c>
      <c r="B9">
        <v>5784</v>
      </c>
      <c r="C9" t="s">
        <v>346</v>
      </c>
      <c r="D9" t="s">
        <v>152</v>
      </c>
      <c r="E9" t="s">
        <v>347</v>
      </c>
      <c r="F9" t="s">
        <v>318</v>
      </c>
      <c r="G9" t="s">
        <v>348</v>
      </c>
      <c r="H9" t="s">
        <v>349</v>
      </c>
      <c r="I9" t="s">
        <v>350</v>
      </c>
      <c r="J9" t="s">
        <v>351</v>
      </c>
      <c r="K9" t="s">
        <v>352</v>
      </c>
    </row>
    <row r="10" spans="1:11" x14ac:dyDescent="0.2">
      <c r="A10">
        <v>20000</v>
      </c>
      <c r="B10">
        <v>11461</v>
      </c>
      <c r="C10" t="s">
        <v>353</v>
      </c>
      <c r="D10" t="s">
        <v>235</v>
      </c>
      <c r="E10" t="s">
        <v>354</v>
      </c>
      <c r="F10" t="s">
        <v>326</v>
      </c>
      <c r="G10" t="s">
        <v>355</v>
      </c>
      <c r="H10" t="s">
        <v>356</v>
      </c>
      <c r="I10" t="s">
        <v>357</v>
      </c>
      <c r="J10" t="s">
        <v>358</v>
      </c>
      <c r="K10" t="s">
        <v>359</v>
      </c>
    </row>
    <row r="11" spans="1:11" x14ac:dyDescent="0.2">
      <c r="A11">
        <v>50000</v>
      </c>
      <c r="B11">
        <v>29117</v>
      </c>
      <c r="C11" t="s">
        <v>360</v>
      </c>
      <c r="D11" t="s">
        <v>212</v>
      </c>
      <c r="E11" t="s">
        <v>361</v>
      </c>
      <c r="F11" t="s">
        <v>362</v>
      </c>
      <c r="G11" t="s">
        <v>363</v>
      </c>
      <c r="H11" t="s">
        <v>364</v>
      </c>
      <c r="I11" t="s">
        <v>365</v>
      </c>
      <c r="J11" t="s">
        <v>366</v>
      </c>
      <c r="K11" t="s">
        <v>367</v>
      </c>
    </row>
    <row r="12" spans="1:11" x14ac:dyDescent="0.2">
      <c r="A12">
        <v>100000</v>
      </c>
      <c r="B12">
        <v>57435</v>
      </c>
      <c r="C12" t="s">
        <v>368</v>
      </c>
      <c r="D12" t="s">
        <v>235</v>
      </c>
      <c r="E12" t="s">
        <v>369</v>
      </c>
      <c r="F12" t="s">
        <v>370</v>
      </c>
      <c r="G12" t="s">
        <v>371</v>
      </c>
      <c r="H12" t="s">
        <v>372</v>
      </c>
      <c r="I12" t="s">
        <v>373</v>
      </c>
      <c r="J12" t="s">
        <v>374</v>
      </c>
      <c r="K12" t="s">
        <v>375</v>
      </c>
    </row>
    <row r="13" spans="1:11" x14ac:dyDescent="0.2">
      <c r="A13">
        <v>150000</v>
      </c>
      <c r="B13">
        <v>86693</v>
      </c>
      <c r="C13" t="s">
        <v>376</v>
      </c>
      <c r="D13" t="s">
        <v>243</v>
      </c>
      <c r="E13" t="s">
        <v>369</v>
      </c>
      <c r="F13" t="s">
        <v>370</v>
      </c>
      <c r="G13" t="s">
        <v>377</v>
      </c>
      <c r="H13" t="s">
        <v>349</v>
      </c>
      <c r="I13" t="s">
        <v>378</v>
      </c>
      <c r="J13" t="s">
        <v>379</v>
      </c>
      <c r="K13" t="s">
        <v>380</v>
      </c>
    </row>
    <row r="14" spans="1:11" x14ac:dyDescent="0.2">
      <c r="A14">
        <v>200000</v>
      </c>
      <c r="B14">
        <v>115823</v>
      </c>
      <c r="C14" t="s">
        <v>381</v>
      </c>
      <c r="D14" t="s">
        <v>152</v>
      </c>
      <c r="E14" t="s">
        <v>347</v>
      </c>
      <c r="F14" t="s">
        <v>382</v>
      </c>
      <c r="G14" t="s">
        <v>383</v>
      </c>
      <c r="H14" t="s">
        <v>384</v>
      </c>
      <c r="I14" t="s">
        <v>385</v>
      </c>
      <c r="J14" t="s">
        <v>386</v>
      </c>
      <c r="K14" t="s">
        <v>387</v>
      </c>
    </row>
    <row r="15" spans="1:11" x14ac:dyDescent="0.2">
      <c r="A15">
        <v>300000</v>
      </c>
      <c r="B15">
        <v>172932</v>
      </c>
      <c r="C15" t="s">
        <v>388</v>
      </c>
      <c r="D15" t="s">
        <v>152</v>
      </c>
      <c r="E15" t="s">
        <v>369</v>
      </c>
      <c r="F15" t="s">
        <v>382</v>
      </c>
      <c r="G15" t="s">
        <v>389</v>
      </c>
      <c r="H15" t="s">
        <v>390</v>
      </c>
      <c r="I15" t="s">
        <v>391</v>
      </c>
      <c r="J15" t="s">
        <v>392</v>
      </c>
      <c r="K15" t="s">
        <v>393</v>
      </c>
    </row>
    <row r="16" spans="1:11" x14ac:dyDescent="0.2">
      <c r="A16">
        <v>350000</v>
      </c>
      <c r="B16">
        <v>202021</v>
      </c>
      <c r="C16" t="s">
        <v>394</v>
      </c>
      <c r="D16" t="s">
        <v>152</v>
      </c>
      <c r="E16" t="s">
        <v>354</v>
      </c>
      <c r="F16" t="s">
        <v>370</v>
      </c>
      <c r="G16" t="s">
        <v>395</v>
      </c>
      <c r="H16" t="s">
        <v>396</v>
      </c>
      <c r="I16" t="s">
        <v>397</v>
      </c>
      <c r="J16" t="s">
        <v>240</v>
      </c>
      <c r="K16" t="s">
        <v>398</v>
      </c>
    </row>
    <row r="17" spans="1:11" x14ac:dyDescent="0.2">
      <c r="A17">
        <v>400000</v>
      </c>
      <c r="B17">
        <v>230928</v>
      </c>
      <c r="C17" t="s">
        <v>399</v>
      </c>
      <c r="D17" t="s">
        <v>152</v>
      </c>
      <c r="E17" t="s">
        <v>347</v>
      </c>
      <c r="F17" t="s">
        <v>382</v>
      </c>
      <c r="G17" t="s">
        <v>400</v>
      </c>
      <c r="H17" t="s">
        <v>401</v>
      </c>
      <c r="I17" t="s">
        <v>402</v>
      </c>
      <c r="J17" t="s">
        <v>403</v>
      </c>
      <c r="K17" t="s">
        <v>246</v>
      </c>
    </row>
    <row r="18" spans="1:11" x14ac:dyDescent="0.2">
      <c r="A18">
        <v>500000</v>
      </c>
      <c r="B18">
        <v>288610</v>
      </c>
      <c r="C18" t="s">
        <v>394</v>
      </c>
      <c r="D18" t="s">
        <v>152</v>
      </c>
      <c r="E18" t="s">
        <v>347</v>
      </c>
      <c r="F18" t="s">
        <v>382</v>
      </c>
      <c r="G18" t="s">
        <v>363</v>
      </c>
      <c r="H18" t="s">
        <v>273</v>
      </c>
      <c r="I18" t="s">
        <v>404</v>
      </c>
      <c r="J18" t="s">
        <v>405</v>
      </c>
      <c r="K18" t="s">
        <v>406</v>
      </c>
    </row>
    <row r="19" spans="1:11" x14ac:dyDescent="0.2">
      <c r="A19">
        <v>1000000</v>
      </c>
      <c r="B19">
        <v>577022</v>
      </c>
      <c r="C19" t="s">
        <v>338</v>
      </c>
      <c r="D19" t="s">
        <v>152</v>
      </c>
      <c r="E19" t="s">
        <v>347</v>
      </c>
      <c r="F19" t="s">
        <v>382</v>
      </c>
      <c r="G19" t="s">
        <v>407</v>
      </c>
      <c r="H19" t="s">
        <v>349</v>
      </c>
      <c r="I19" t="s">
        <v>408</v>
      </c>
      <c r="J19" t="s">
        <v>409</v>
      </c>
      <c r="K19" t="s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2B0E-261A-9044-80BB-3B9A47F3556F}">
  <dimension ref="A1:K19"/>
  <sheetViews>
    <sheetView workbookViewId="0">
      <selection activeCell="B19" sqref="B1:K19"/>
    </sheetView>
  </sheetViews>
  <sheetFormatPr baseColWidth="10" defaultRowHeight="16" x14ac:dyDescent="0.2"/>
  <sheetData>
    <row r="1" spans="1:11" x14ac:dyDescent="0.2">
      <c r="A1">
        <v>10</v>
      </c>
      <c r="B1">
        <v>50</v>
      </c>
      <c r="C1" t="s">
        <v>411</v>
      </c>
      <c r="D1" t="s">
        <v>145</v>
      </c>
      <c r="E1" t="s">
        <v>412</v>
      </c>
      <c r="F1" t="s">
        <v>413</v>
      </c>
      <c r="G1" t="s">
        <v>414</v>
      </c>
      <c r="H1" t="s">
        <v>145</v>
      </c>
      <c r="I1" t="s">
        <v>415</v>
      </c>
      <c r="J1" t="s">
        <v>416</v>
      </c>
      <c r="K1" t="s">
        <v>417</v>
      </c>
    </row>
    <row r="2" spans="1:11" x14ac:dyDescent="0.2">
      <c r="A2">
        <v>50</v>
      </c>
      <c r="B2">
        <v>198</v>
      </c>
      <c r="C2" t="s">
        <v>418</v>
      </c>
      <c r="D2" t="s">
        <v>419</v>
      </c>
      <c r="E2" t="s">
        <v>420</v>
      </c>
      <c r="F2" t="s">
        <v>421</v>
      </c>
      <c r="G2" t="s">
        <v>422</v>
      </c>
      <c r="H2" t="s">
        <v>423</v>
      </c>
      <c r="I2" t="s">
        <v>424</v>
      </c>
      <c r="J2" t="s">
        <v>425</v>
      </c>
      <c r="K2" t="s">
        <v>426</v>
      </c>
    </row>
    <row r="3" spans="1:11" x14ac:dyDescent="0.2">
      <c r="A3">
        <v>100</v>
      </c>
      <c r="B3">
        <v>493</v>
      </c>
      <c r="C3" t="s">
        <v>427</v>
      </c>
      <c r="D3" t="s">
        <v>428</v>
      </c>
      <c r="E3" t="s">
        <v>429</v>
      </c>
      <c r="F3" t="s">
        <v>430</v>
      </c>
      <c r="G3" t="s">
        <v>431</v>
      </c>
      <c r="H3" t="s">
        <v>432</v>
      </c>
      <c r="I3" t="s">
        <v>433</v>
      </c>
      <c r="J3" t="s">
        <v>434</v>
      </c>
      <c r="K3" t="s">
        <v>435</v>
      </c>
    </row>
    <row r="4" spans="1:11" x14ac:dyDescent="0.2">
      <c r="A4">
        <v>200</v>
      </c>
      <c r="B4">
        <v>952</v>
      </c>
      <c r="C4" t="s">
        <v>436</v>
      </c>
      <c r="D4" t="s">
        <v>316</v>
      </c>
      <c r="E4" t="s">
        <v>437</v>
      </c>
      <c r="F4" t="s">
        <v>438</v>
      </c>
      <c r="G4" t="s">
        <v>439</v>
      </c>
      <c r="H4" t="s">
        <v>440</v>
      </c>
      <c r="I4" t="s">
        <v>441</v>
      </c>
      <c r="J4" t="s">
        <v>442</v>
      </c>
      <c r="K4" t="s">
        <v>443</v>
      </c>
    </row>
    <row r="5" spans="1:11" x14ac:dyDescent="0.2">
      <c r="A5">
        <v>500</v>
      </c>
      <c r="B5">
        <v>2482</v>
      </c>
      <c r="C5" t="s">
        <v>444</v>
      </c>
      <c r="D5" t="s">
        <v>339</v>
      </c>
      <c r="E5" t="s">
        <v>445</v>
      </c>
      <c r="F5" t="s">
        <v>430</v>
      </c>
      <c r="G5" t="s">
        <v>446</v>
      </c>
      <c r="H5" t="s">
        <v>447</v>
      </c>
      <c r="I5" t="s">
        <v>448</v>
      </c>
      <c r="J5" t="s">
        <v>449</v>
      </c>
      <c r="K5" t="s">
        <v>450</v>
      </c>
    </row>
    <row r="6" spans="1:11" x14ac:dyDescent="0.2">
      <c r="A6">
        <v>1000</v>
      </c>
      <c r="B6">
        <v>4929</v>
      </c>
      <c r="C6" t="s">
        <v>451</v>
      </c>
      <c r="D6" t="s">
        <v>235</v>
      </c>
      <c r="E6" t="s">
        <v>452</v>
      </c>
      <c r="F6" t="s">
        <v>453</v>
      </c>
      <c r="G6" t="s">
        <v>454</v>
      </c>
      <c r="H6" t="s">
        <v>455</v>
      </c>
      <c r="I6" t="s">
        <v>456</v>
      </c>
      <c r="J6" t="s">
        <v>457</v>
      </c>
      <c r="K6" t="s">
        <v>458</v>
      </c>
    </row>
    <row r="7" spans="1:11" x14ac:dyDescent="0.2">
      <c r="A7">
        <v>2000</v>
      </c>
      <c r="B7">
        <v>10083</v>
      </c>
      <c r="C7" t="s">
        <v>459</v>
      </c>
      <c r="D7" t="s">
        <v>212</v>
      </c>
      <c r="E7" t="s">
        <v>460</v>
      </c>
      <c r="F7" t="s">
        <v>461</v>
      </c>
      <c r="G7" t="s">
        <v>462</v>
      </c>
      <c r="H7" t="s">
        <v>401</v>
      </c>
      <c r="I7" t="s">
        <v>463</v>
      </c>
      <c r="J7" t="s">
        <v>464</v>
      </c>
      <c r="K7" t="s">
        <v>465</v>
      </c>
    </row>
    <row r="8" spans="1:11" x14ac:dyDescent="0.2">
      <c r="A8">
        <v>5000</v>
      </c>
      <c r="B8">
        <v>26114</v>
      </c>
      <c r="C8" t="s">
        <v>466</v>
      </c>
      <c r="D8" t="s">
        <v>339</v>
      </c>
      <c r="E8" t="s">
        <v>467</v>
      </c>
      <c r="F8" t="s">
        <v>461</v>
      </c>
      <c r="G8" t="s">
        <v>468</v>
      </c>
      <c r="H8" t="s">
        <v>469</v>
      </c>
      <c r="I8" t="s">
        <v>470</v>
      </c>
      <c r="J8" t="s">
        <v>471</v>
      </c>
      <c r="K8" t="s">
        <v>472</v>
      </c>
    </row>
    <row r="9" spans="1:11" x14ac:dyDescent="0.2">
      <c r="A9">
        <v>10000</v>
      </c>
      <c r="B9">
        <v>51964</v>
      </c>
      <c r="C9" t="s">
        <v>473</v>
      </c>
      <c r="D9" t="s">
        <v>235</v>
      </c>
      <c r="E9" t="s">
        <v>474</v>
      </c>
      <c r="F9" t="s">
        <v>475</v>
      </c>
      <c r="G9" t="s">
        <v>476</v>
      </c>
      <c r="H9" t="s">
        <v>477</v>
      </c>
      <c r="I9" t="s">
        <v>478</v>
      </c>
      <c r="J9" t="s">
        <v>479</v>
      </c>
      <c r="K9" t="s">
        <v>480</v>
      </c>
    </row>
    <row r="10" spans="1:11" x14ac:dyDescent="0.2">
      <c r="A10">
        <v>20000</v>
      </c>
      <c r="B10">
        <v>104749</v>
      </c>
      <c r="C10" t="s">
        <v>481</v>
      </c>
      <c r="D10" t="s">
        <v>243</v>
      </c>
      <c r="E10" t="s">
        <v>474</v>
      </c>
      <c r="F10" t="s">
        <v>482</v>
      </c>
      <c r="G10" t="s">
        <v>483</v>
      </c>
      <c r="H10" t="s">
        <v>484</v>
      </c>
      <c r="I10" t="s">
        <v>485</v>
      </c>
      <c r="J10" t="s">
        <v>197</v>
      </c>
      <c r="K10" t="s">
        <v>486</v>
      </c>
    </row>
    <row r="11" spans="1:11" x14ac:dyDescent="0.2">
      <c r="A11">
        <v>50000</v>
      </c>
      <c r="B11">
        <v>262905</v>
      </c>
      <c r="C11" t="s">
        <v>487</v>
      </c>
      <c r="D11" t="s">
        <v>152</v>
      </c>
      <c r="E11" t="s">
        <v>488</v>
      </c>
      <c r="F11" t="s">
        <v>475</v>
      </c>
      <c r="G11" t="s">
        <v>489</v>
      </c>
      <c r="H11" t="s">
        <v>428</v>
      </c>
      <c r="I11" t="s">
        <v>490</v>
      </c>
      <c r="J11" t="s">
        <v>491</v>
      </c>
      <c r="K11" t="s">
        <v>492</v>
      </c>
    </row>
    <row r="12" spans="1:11" x14ac:dyDescent="0.2">
      <c r="A12">
        <v>100000</v>
      </c>
      <c r="B12">
        <v>527388</v>
      </c>
      <c r="C12" t="s">
        <v>493</v>
      </c>
      <c r="D12" t="s">
        <v>152</v>
      </c>
      <c r="E12" t="s">
        <v>494</v>
      </c>
      <c r="F12" t="s">
        <v>482</v>
      </c>
      <c r="G12" t="s">
        <v>495</v>
      </c>
      <c r="H12" t="s">
        <v>496</v>
      </c>
      <c r="I12" t="s">
        <v>497</v>
      </c>
      <c r="J12" t="s">
        <v>498</v>
      </c>
      <c r="K12" t="s">
        <v>496</v>
      </c>
    </row>
    <row r="13" spans="1:11" x14ac:dyDescent="0.2">
      <c r="A13">
        <v>150000</v>
      </c>
      <c r="B13">
        <v>793079</v>
      </c>
      <c r="C13" t="s">
        <v>499</v>
      </c>
      <c r="D13" t="s">
        <v>152</v>
      </c>
      <c r="E13" t="s">
        <v>488</v>
      </c>
      <c r="F13" t="s">
        <v>482</v>
      </c>
      <c r="G13" t="s">
        <v>500</v>
      </c>
      <c r="H13" t="s">
        <v>501</v>
      </c>
      <c r="I13" t="s">
        <v>502</v>
      </c>
      <c r="J13" t="s">
        <v>503</v>
      </c>
      <c r="K13" t="s">
        <v>504</v>
      </c>
    </row>
    <row r="14" spans="1:11" x14ac:dyDescent="0.2">
      <c r="A14">
        <v>200000</v>
      </c>
      <c r="B14">
        <v>1058929</v>
      </c>
      <c r="C14" t="s">
        <v>505</v>
      </c>
      <c r="D14" t="s">
        <v>152</v>
      </c>
      <c r="E14" t="s">
        <v>506</v>
      </c>
      <c r="F14" t="s">
        <v>482</v>
      </c>
      <c r="G14" t="s">
        <v>507</v>
      </c>
      <c r="H14" t="s">
        <v>384</v>
      </c>
      <c r="I14" t="s">
        <v>508</v>
      </c>
      <c r="J14" t="s">
        <v>405</v>
      </c>
      <c r="K14" t="s">
        <v>509</v>
      </c>
    </row>
    <row r="15" spans="1:11" x14ac:dyDescent="0.2">
      <c r="A15">
        <v>300000</v>
      </c>
      <c r="B15">
        <v>1588569</v>
      </c>
      <c r="C15" t="s">
        <v>510</v>
      </c>
      <c r="D15" t="s">
        <v>152</v>
      </c>
      <c r="E15" t="s">
        <v>488</v>
      </c>
      <c r="F15" t="s">
        <v>482</v>
      </c>
      <c r="G15" t="s">
        <v>511</v>
      </c>
      <c r="H15" t="s">
        <v>256</v>
      </c>
      <c r="I15" t="s">
        <v>512</v>
      </c>
      <c r="J15" t="s">
        <v>513</v>
      </c>
      <c r="K15" t="s">
        <v>514</v>
      </c>
    </row>
    <row r="16" spans="1:11" x14ac:dyDescent="0.2">
      <c r="A16">
        <v>350000</v>
      </c>
      <c r="B16">
        <v>1853426</v>
      </c>
      <c r="C16" t="s">
        <v>515</v>
      </c>
      <c r="D16" t="s">
        <v>152</v>
      </c>
      <c r="E16" t="s">
        <v>488</v>
      </c>
      <c r="F16" t="s">
        <v>482</v>
      </c>
      <c r="G16" t="s">
        <v>516</v>
      </c>
      <c r="H16" t="s">
        <v>401</v>
      </c>
      <c r="I16" t="s">
        <v>517</v>
      </c>
      <c r="J16" t="s">
        <v>518</v>
      </c>
      <c r="K16" t="s">
        <v>501</v>
      </c>
    </row>
    <row r="17" spans="1:11" x14ac:dyDescent="0.2">
      <c r="A17">
        <v>400000</v>
      </c>
      <c r="B17">
        <v>2119000</v>
      </c>
      <c r="C17" t="s">
        <v>519</v>
      </c>
      <c r="D17" t="s">
        <v>152</v>
      </c>
      <c r="E17" t="s">
        <v>488</v>
      </c>
      <c r="F17" t="s">
        <v>482</v>
      </c>
      <c r="G17" t="s">
        <v>520</v>
      </c>
      <c r="H17" t="s">
        <v>521</v>
      </c>
      <c r="I17" t="s">
        <v>522</v>
      </c>
      <c r="J17" t="s">
        <v>409</v>
      </c>
      <c r="K17" t="s">
        <v>238</v>
      </c>
    </row>
    <row r="18" spans="1:11" x14ac:dyDescent="0.2">
      <c r="A18">
        <v>500000</v>
      </c>
      <c r="B18">
        <v>2649239</v>
      </c>
      <c r="C18" t="s">
        <v>523</v>
      </c>
      <c r="D18" t="s">
        <v>152</v>
      </c>
      <c r="E18" t="s">
        <v>488</v>
      </c>
      <c r="F18" t="s">
        <v>482</v>
      </c>
      <c r="G18" t="s">
        <v>524</v>
      </c>
      <c r="H18" t="s">
        <v>384</v>
      </c>
      <c r="I18" t="s">
        <v>525</v>
      </c>
      <c r="J18" t="s">
        <v>526</v>
      </c>
      <c r="K18" t="s">
        <v>527</v>
      </c>
    </row>
    <row r="19" spans="1:11" x14ac:dyDescent="0.2">
      <c r="A19">
        <v>1000000</v>
      </c>
      <c r="B19">
        <v>5298695</v>
      </c>
      <c r="C19" t="s">
        <v>528</v>
      </c>
      <c r="D19" t="s">
        <v>152</v>
      </c>
      <c r="E19" t="s">
        <v>506</v>
      </c>
      <c r="F19" t="s">
        <v>482</v>
      </c>
      <c r="G19" t="s">
        <v>529</v>
      </c>
      <c r="H19" t="s">
        <v>262</v>
      </c>
      <c r="I19" t="s">
        <v>530</v>
      </c>
      <c r="J19" t="s">
        <v>531</v>
      </c>
      <c r="K19" t="s">
        <v>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65CB-E6CB-FA49-8A43-CB878A51CEDE}">
  <dimension ref="A1:K19"/>
  <sheetViews>
    <sheetView workbookViewId="0">
      <selection activeCell="K19" sqref="B1:K19"/>
    </sheetView>
  </sheetViews>
  <sheetFormatPr baseColWidth="10" defaultRowHeight="16" x14ac:dyDescent="0.2"/>
  <sheetData>
    <row r="1" spans="1:11" x14ac:dyDescent="0.2">
      <c r="A1" s="1">
        <v>10</v>
      </c>
      <c r="B1" s="1">
        <v>2</v>
      </c>
      <c r="C1" s="1" t="s">
        <v>144</v>
      </c>
      <c r="D1" s="1" t="s">
        <v>145</v>
      </c>
      <c r="E1" s="1" t="s">
        <v>533</v>
      </c>
      <c r="F1" s="1" t="s">
        <v>534</v>
      </c>
      <c r="G1" s="1" t="s">
        <v>535</v>
      </c>
      <c r="H1" s="1" t="s">
        <v>145</v>
      </c>
      <c r="I1" s="1" t="s">
        <v>536</v>
      </c>
      <c r="J1" s="1" t="s">
        <v>537</v>
      </c>
      <c r="K1" t="s">
        <v>538</v>
      </c>
    </row>
    <row r="2" spans="1:11" x14ac:dyDescent="0.2">
      <c r="A2" s="1">
        <v>50</v>
      </c>
      <c r="B2" s="1">
        <v>11</v>
      </c>
      <c r="C2" s="1" t="s">
        <v>539</v>
      </c>
      <c r="D2" s="1" t="s">
        <v>540</v>
      </c>
      <c r="E2" s="1" t="s">
        <v>541</v>
      </c>
      <c r="F2" s="1" t="s">
        <v>542</v>
      </c>
      <c r="G2" s="1" t="s">
        <v>543</v>
      </c>
      <c r="H2" s="1" t="s">
        <v>544</v>
      </c>
      <c r="I2" s="1" t="s">
        <v>545</v>
      </c>
      <c r="J2" s="1" t="s">
        <v>546</v>
      </c>
      <c r="K2" t="s">
        <v>547</v>
      </c>
    </row>
    <row r="3" spans="1:11" x14ac:dyDescent="0.2">
      <c r="A3" s="1">
        <v>100</v>
      </c>
      <c r="B3" s="1">
        <v>24</v>
      </c>
      <c r="C3" s="1" t="s">
        <v>548</v>
      </c>
      <c r="D3" s="1" t="s">
        <v>549</v>
      </c>
      <c r="E3" s="1" t="s">
        <v>550</v>
      </c>
      <c r="F3" s="1" t="s">
        <v>551</v>
      </c>
      <c r="G3" s="1" t="s">
        <v>552</v>
      </c>
      <c r="H3" s="1" t="s">
        <v>553</v>
      </c>
      <c r="I3" s="1" t="s">
        <v>554</v>
      </c>
      <c r="J3" s="1" t="s">
        <v>555</v>
      </c>
      <c r="K3" t="s">
        <v>556</v>
      </c>
    </row>
    <row r="4" spans="1:11" x14ac:dyDescent="0.2">
      <c r="A4" s="1">
        <v>200</v>
      </c>
      <c r="B4" s="1">
        <v>42</v>
      </c>
      <c r="C4" s="1" t="s">
        <v>557</v>
      </c>
      <c r="D4" s="1" t="s">
        <v>558</v>
      </c>
      <c r="E4" s="1" t="s">
        <v>559</v>
      </c>
      <c r="F4" s="1" t="s">
        <v>560</v>
      </c>
      <c r="G4" s="1" t="s">
        <v>561</v>
      </c>
      <c r="H4" s="1" t="s">
        <v>562</v>
      </c>
      <c r="I4" s="1" t="s">
        <v>563</v>
      </c>
      <c r="J4" s="1" t="s">
        <v>564</v>
      </c>
      <c r="K4" t="s">
        <v>565</v>
      </c>
    </row>
    <row r="5" spans="1:11" x14ac:dyDescent="0.2">
      <c r="A5" s="1">
        <v>500</v>
      </c>
      <c r="B5" s="1">
        <v>109</v>
      </c>
      <c r="C5" s="1" t="s">
        <v>566</v>
      </c>
      <c r="D5" s="1" t="s">
        <v>339</v>
      </c>
      <c r="E5" s="1" t="s">
        <v>567</v>
      </c>
      <c r="F5" s="1" t="s">
        <v>551</v>
      </c>
      <c r="G5" s="1" t="s">
        <v>568</v>
      </c>
      <c r="H5" s="1" t="s">
        <v>569</v>
      </c>
      <c r="I5" s="1" t="s">
        <v>570</v>
      </c>
      <c r="J5" s="1" t="s">
        <v>571</v>
      </c>
      <c r="K5" t="s">
        <v>572</v>
      </c>
    </row>
    <row r="6" spans="1:11" x14ac:dyDescent="0.2">
      <c r="A6" s="1">
        <v>1000</v>
      </c>
      <c r="B6" s="1">
        <v>221</v>
      </c>
      <c r="C6" s="1" t="s">
        <v>573</v>
      </c>
      <c r="D6" s="1" t="s">
        <v>243</v>
      </c>
      <c r="E6" s="1" t="s">
        <v>574</v>
      </c>
      <c r="F6" s="1" t="s">
        <v>575</v>
      </c>
      <c r="G6" s="1" t="s">
        <v>576</v>
      </c>
      <c r="H6" s="1" t="s">
        <v>577</v>
      </c>
      <c r="I6" s="1" t="s">
        <v>578</v>
      </c>
      <c r="J6" s="1" t="s">
        <v>579</v>
      </c>
      <c r="K6" t="s">
        <v>580</v>
      </c>
    </row>
    <row r="7" spans="1:11" x14ac:dyDescent="0.2">
      <c r="A7" s="1">
        <v>2000</v>
      </c>
      <c r="B7" s="1">
        <v>417</v>
      </c>
      <c r="C7" s="1" t="s">
        <v>581</v>
      </c>
      <c r="D7" s="1" t="s">
        <v>484</v>
      </c>
      <c r="E7" s="1" t="s">
        <v>559</v>
      </c>
      <c r="F7" s="1" t="s">
        <v>582</v>
      </c>
      <c r="G7" s="1" t="s">
        <v>583</v>
      </c>
      <c r="H7" s="1" t="s">
        <v>375</v>
      </c>
      <c r="I7" s="1" t="s">
        <v>584</v>
      </c>
      <c r="J7" s="1" t="s">
        <v>332</v>
      </c>
      <c r="K7" t="s">
        <v>585</v>
      </c>
    </row>
    <row r="8" spans="1:11" x14ac:dyDescent="0.2">
      <c r="A8" s="1">
        <v>5000</v>
      </c>
      <c r="B8" s="1">
        <v>1118</v>
      </c>
      <c r="C8" s="1" t="s">
        <v>586</v>
      </c>
      <c r="D8" s="1" t="s">
        <v>195</v>
      </c>
      <c r="E8" s="1" t="s">
        <v>587</v>
      </c>
      <c r="F8" s="1" t="s">
        <v>588</v>
      </c>
      <c r="G8" s="1" t="s">
        <v>589</v>
      </c>
      <c r="H8" s="1" t="s">
        <v>590</v>
      </c>
      <c r="I8" s="1" t="s">
        <v>591</v>
      </c>
      <c r="J8" s="1" t="s">
        <v>592</v>
      </c>
      <c r="K8" t="s">
        <v>593</v>
      </c>
    </row>
    <row r="9" spans="1:11" x14ac:dyDescent="0.2">
      <c r="A9" s="1">
        <v>10000</v>
      </c>
      <c r="B9" s="1">
        <v>2273</v>
      </c>
      <c r="C9" s="1" t="s">
        <v>594</v>
      </c>
      <c r="D9" s="1" t="s">
        <v>212</v>
      </c>
      <c r="E9" s="1" t="s">
        <v>559</v>
      </c>
      <c r="F9" s="1" t="s">
        <v>595</v>
      </c>
      <c r="G9" s="1" t="s">
        <v>596</v>
      </c>
      <c r="H9" s="1" t="s">
        <v>597</v>
      </c>
      <c r="I9" s="1" t="s">
        <v>598</v>
      </c>
      <c r="J9" s="1" t="s">
        <v>599</v>
      </c>
      <c r="K9" t="s">
        <v>600</v>
      </c>
    </row>
    <row r="10" spans="1:11" x14ac:dyDescent="0.2">
      <c r="A10" s="1">
        <v>20000</v>
      </c>
      <c r="B10" s="1">
        <v>4634</v>
      </c>
      <c r="C10" s="1" t="s">
        <v>601</v>
      </c>
      <c r="D10" s="1" t="s">
        <v>212</v>
      </c>
      <c r="E10" s="1" t="s">
        <v>574</v>
      </c>
      <c r="F10" s="1" t="s">
        <v>582</v>
      </c>
      <c r="G10" s="1" t="s">
        <v>602</v>
      </c>
      <c r="H10" s="1" t="s">
        <v>603</v>
      </c>
      <c r="I10" s="1" t="s">
        <v>604</v>
      </c>
      <c r="J10" s="1" t="s">
        <v>605</v>
      </c>
      <c r="K10" t="s">
        <v>606</v>
      </c>
    </row>
    <row r="11" spans="1:11" x14ac:dyDescent="0.2">
      <c r="A11" s="1">
        <v>50000</v>
      </c>
      <c r="B11" s="1">
        <v>11668</v>
      </c>
      <c r="C11" s="1" t="s">
        <v>607</v>
      </c>
      <c r="D11" s="1" t="s">
        <v>243</v>
      </c>
      <c r="E11" s="1" t="s">
        <v>608</v>
      </c>
      <c r="F11" s="1" t="s">
        <v>559</v>
      </c>
      <c r="G11" s="1" t="s">
        <v>609</v>
      </c>
      <c r="H11" s="1" t="s">
        <v>177</v>
      </c>
      <c r="I11" s="1" t="s">
        <v>610</v>
      </c>
      <c r="J11" s="1" t="s">
        <v>611</v>
      </c>
      <c r="K11" t="s">
        <v>612</v>
      </c>
    </row>
    <row r="12" spans="1:11" x14ac:dyDescent="0.2">
      <c r="A12" s="1">
        <v>100000</v>
      </c>
      <c r="B12" s="1">
        <v>23650</v>
      </c>
      <c r="C12" s="1" t="s">
        <v>613</v>
      </c>
      <c r="D12" s="1" t="s">
        <v>243</v>
      </c>
      <c r="E12" s="1" t="s">
        <v>614</v>
      </c>
      <c r="F12" s="1" t="s">
        <v>595</v>
      </c>
      <c r="G12" s="1" t="s">
        <v>615</v>
      </c>
      <c r="H12" s="1" t="s">
        <v>616</v>
      </c>
      <c r="I12" s="1" t="s">
        <v>617</v>
      </c>
      <c r="J12" s="1" t="s">
        <v>618</v>
      </c>
      <c r="K12" t="s">
        <v>619</v>
      </c>
    </row>
    <row r="13" spans="1:11" x14ac:dyDescent="0.2">
      <c r="A13" s="1">
        <v>150000</v>
      </c>
      <c r="B13" s="1">
        <v>35775</v>
      </c>
      <c r="C13" s="1" t="s">
        <v>620</v>
      </c>
      <c r="D13" s="1" t="s">
        <v>243</v>
      </c>
      <c r="E13" s="1" t="s">
        <v>595</v>
      </c>
      <c r="F13" s="1" t="s">
        <v>582</v>
      </c>
      <c r="G13" s="1" t="s">
        <v>621</v>
      </c>
      <c r="H13" s="1" t="s">
        <v>230</v>
      </c>
      <c r="I13" s="1" t="s">
        <v>622</v>
      </c>
      <c r="J13" s="1" t="s">
        <v>623</v>
      </c>
      <c r="K13" t="s">
        <v>624</v>
      </c>
    </row>
    <row r="14" spans="1:11" x14ac:dyDescent="0.2">
      <c r="A14" s="1">
        <v>200000</v>
      </c>
      <c r="B14" s="1">
        <v>47650</v>
      </c>
      <c r="C14" s="1" t="s">
        <v>625</v>
      </c>
      <c r="D14" s="1" t="s">
        <v>152</v>
      </c>
      <c r="E14" s="1" t="s">
        <v>595</v>
      </c>
      <c r="F14" s="1" t="s">
        <v>559</v>
      </c>
      <c r="G14" s="1" t="s">
        <v>626</v>
      </c>
      <c r="H14" s="1" t="s">
        <v>627</v>
      </c>
      <c r="I14" s="1" t="s">
        <v>628</v>
      </c>
      <c r="J14" s="1" t="s">
        <v>518</v>
      </c>
      <c r="K14" t="s">
        <v>629</v>
      </c>
    </row>
    <row r="15" spans="1:11" x14ac:dyDescent="0.2">
      <c r="A15" s="1">
        <v>300000</v>
      </c>
      <c r="B15" s="1">
        <v>71577</v>
      </c>
      <c r="C15" s="1" t="s">
        <v>630</v>
      </c>
      <c r="D15" s="1" t="s">
        <v>152</v>
      </c>
      <c r="E15" s="1" t="s">
        <v>559</v>
      </c>
      <c r="F15" s="1" t="s">
        <v>559</v>
      </c>
      <c r="G15" s="1" t="s">
        <v>631</v>
      </c>
      <c r="H15" s="1" t="s">
        <v>632</v>
      </c>
      <c r="I15" s="1" t="s">
        <v>633</v>
      </c>
      <c r="J15" s="1" t="s">
        <v>634</v>
      </c>
      <c r="K15" t="s">
        <v>635</v>
      </c>
    </row>
    <row r="16" spans="1:11" x14ac:dyDescent="0.2">
      <c r="A16" s="1">
        <v>350000</v>
      </c>
      <c r="B16" s="1">
        <v>83548</v>
      </c>
      <c r="C16" s="1" t="s">
        <v>636</v>
      </c>
      <c r="D16" s="1" t="s">
        <v>152</v>
      </c>
      <c r="E16" s="1" t="s">
        <v>559</v>
      </c>
      <c r="F16" s="1" t="s">
        <v>582</v>
      </c>
      <c r="G16" s="1" t="s">
        <v>637</v>
      </c>
      <c r="H16" s="1" t="s">
        <v>256</v>
      </c>
      <c r="I16" s="1" t="s">
        <v>638</v>
      </c>
      <c r="J16" s="1" t="s">
        <v>639</v>
      </c>
      <c r="K16" t="s">
        <v>380</v>
      </c>
    </row>
    <row r="17" spans="1:11" x14ac:dyDescent="0.2">
      <c r="A17" s="1">
        <v>400000</v>
      </c>
      <c r="B17" s="1">
        <v>95227</v>
      </c>
      <c r="C17" s="1" t="s">
        <v>640</v>
      </c>
      <c r="D17" s="1" t="s">
        <v>152</v>
      </c>
      <c r="E17" s="1" t="s">
        <v>559</v>
      </c>
      <c r="F17" s="1" t="s">
        <v>582</v>
      </c>
      <c r="G17" s="1" t="s">
        <v>641</v>
      </c>
      <c r="H17" s="1" t="s">
        <v>642</v>
      </c>
      <c r="I17" s="1" t="s">
        <v>643</v>
      </c>
      <c r="J17" s="1" t="s">
        <v>275</v>
      </c>
      <c r="K17" t="s">
        <v>644</v>
      </c>
    </row>
    <row r="18" spans="1:11" x14ac:dyDescent="0.2">
      <c r="A18" s="1">
        <v>500000</v>
      </c>
      <c r="B18" s="1">
        <v>118992</v>
      </c>
      <c r="C18" s="1" t="s">
        <v>645</v>
      </c>
      <c r="D18" s="1" t="s">
        <v>152</v>
      </c>
      <c r="E18" s="1" t="s">
        <v>559</v>
      </c>
      <c r="F18" s="1" t="s">
        <v>582</v>
      </c>
      <c r="G18" s="1" t="s">
        <v>646</v>
      </c>
      <c r="H18" s="1" t="s">
        <v>256</v>
      </c>
      <c r="I18" s="1" t="s">
        <v>647</v>
      </c>
      <c r="J18" s="1" t="s">
        <v>648</v>
      </c>
      <c r="K18" t="s">
        <v>265</v>
      </c>
    </row>
    <row r="19" spans="1:11" x14ac:dyDescent="0.2">
      <c r="A19" s="1">
        <v>1000000</v>
      </c>
      <c r="B19" s="1">
        <v>238320</v>
      </c>
      <c r="C19" s="1" t="s">
        <v>649</v>
      </c>
      <c r="D19" s="1" t="s">
        <v>152</v>
      </c>
      <c r="E19" s="1" t="s">
        <v>595</v>
      </c>
      <c r="F19" s="1" t="s">
        <v>582</v>
      </c>
      <c r="G19" s="1" t="s">
        <v>650</v>
      </c>
      <c r="H19" s="1" t="s">
        <v>281</v>
      </c>
      <c r="I19" s="1" t="s">
        <v>651</v>
      </c>
      <c r="J19" s="1" t="s">
        <v>652</v>
      </c>
      <c r="K19" t="s">
        <v>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238F-DA1B-6244-89E5-D5AFE7202D5B}">
  <dimension ref="A1:K19"/>
  <sheetViews>
    <sheetView workbookViewId="0">
      <selection activeCell="B1" sqref="B1:K19"/>
    </sheetView>
  </sheetViews>
  <sheetFormatPr baseColWidth="10" defaultRowHeight="16" x14ac:dyDescent="0.2"/>
  <sheetData>
    <row r="1" spans="1:11" x14ac:dyDescent="0.2">
      <c r="A1">
        <v>10</v>
      </c>
      <c r="B1">
        <v>2</v>
      </c>
      <c r="C1" t="s">
        <v>144</v>
      </c>
      <c r="D1" t="s">
        <v>145</v>
      </c>
      <c r="E1" t="s">
        <v>533</v>
      </c>
      <c r="F1" t="s">
        <v>534</v>
      </c>
      <c r="G1" t="s">
        <v>535</v>
      </c>
      <c r="H1" t="s">
        <v>145</v>
      </c>
      <c r="I1" t="s">
        <v>536</v>
      </c>
      <c r="J1" t="s">
        <v>537</v>
      </c>
      <c r="K1" t="s">
        <v>538</v>
      </c>
    </row>
    <row r="2" spans="1:11" x14ac:dyDescent="0.2">
      <c r="A2">
        <v>50</v>
      </c>
      <c r="B2">
        <v>11</v>
      </c>
      <c r="C2" t="s">
        <v>539</v>
      </c>
      <c r="D2" t="s">
        <v>540</v>
      </c>
      <c r="E2" t="s">
        <v>541</v>
      </c>
      <c r="F2" t="s">
        <v>542</v>
      </c>
      <c r="G2" t="s">
        <v>543</v>
      </c>
      <c r="H2" t="s">
        <v>544</v>
      </c>
      <c r="I2" t="s">
        <v>545</v>
      </c>
      <c r="J2" t="s">
        <v>546</v>
      </c>
      <c r="K2" t="s">
        <v>547</v>
      </c>
    </row>
    <row r="3" spans="1:11" x14ac:dyDescent="0.2">
      <c r="A3">
        <v>100</v>
      </c>
      <c r="B3">
        <v>24</v>
      </c>
      <c r="C3" t="s">
        <v>548</v>
      </c>
      <c r="D3" t="s">
        <v>549</v>
      </c>
      <c r="E3" t="s">
        <v>550</v>
      </c>
      <c r="F3" t="s">
        <v>551</v>
      </c>
      <c r="G3" t="s">
        <v>552</v>
      </c>
      <c r="H3" t="s">
        <v>553</v>
      </c>
      <c r="I3" t="s">
        <v>554</v>
      </c>
      <c r="J3" t="s">
        <v>555</v>
      </c>
      <c r="K3" t="s">
        <v>556</v>
      </c>
    </row>
    <row r="4" spans="1:11" x14ac:dyDescent="0.2">
      <c r="A4">
        <v>200</v>
      </c>
      <c r="B4">
        <v>42</v>
      </c>
      <c r="C4" t="s">
        <v>557</v>
      </c>
      <c r="D4" t="s">
        <v>558</v>
      </c>
      <c r="E4" t="s">
        <v>559</v>
      </c>
      <c r="F4" t="s">
        <v>560</v>
      </c>
      <c r="G4" t="s">
        <v>561</v>
      </c>
      <c r="H4" t="s">
        <v>562</v>
      </c>
      <c r="I4" t="s">
        <v>563</v>
      </c>
      <c r="J4" t="s">
        <v>564</v>
      </c>
      <c r="K4" t="s">
        <v>565</v>
      </c>
    </row>
    <row r="5" spans="1:11" x14ac:dyDescent="0.2">
      <c r="A5">
        <v>500</v>
      </c>
      <c r="B5">
        <v>109</v>
      </c>
      <c r="C5" t="s">
        <v>566</v>
      </c>
      <c r="D5" t="s">
        <v>339</v>
      </c>
      <c r="E5" t="s">
        <v>567</v>
      </c>
      <c r="F5" t="s">
        <v>551</v>
      </c>
      <c r="G5" t="s">
        <v>568</v>
      </c>
      <c r="H5" t="s">
        <v>569</v>
      </c>
      <c r="I5" t="s">
        <v>570</v>
      </c>
      <c r="J5" t="s">
        <v>571</v>
      </c>
      <c r="K5" t="s">
        <v>572</v>
      </c>
    </row>
    <row r="6" spans="1:11" x14ac:dyDescent="0.2">
      <c r="A6">
        <v>1000</v>
      </c>
      <c r="B6">
        <v>221</v>
      </c>
      <c r="C6" t="s">
        <v>573</v>
      </c>
      <c r="D6" t="s">
        <v>243</v>
      </c>
      <c r="E6" t="s">
        <v>574</v>
      </c>
      <c r="F6" t="s">
        <v>575</v>
      </c>
      <c r="G6" t="s">
        <v>576</v>
      </c>
      <c r="H6" t="s">
        <v>577</v>
      </c>
      <c r="I6" t="s">
        <v>578</v>
      </c>
      <c r="J6" t="s">
        <v>579</v>
      </c>
      <c r="K6" t="s">
        <v>580</v>
      </c>
    </row>
    <row r="7" spans="1:11" x14ac:dyDescent="0.2">
      <c r="A7">
        <v>2000</v>
      </c>
      <c r="B7">
        <v>417</v>
      </c>
      <c r="C7" t="s">
        <v>581</v>
      </c>
      <c r="D7" t="s">
        <v>484</v>
      </c>
      <c r="E7" t="s">
        <v>559</v>
      </c>
      <c r="F7" t="s">
        <v>582</v>
      </c>
      <c r="G7" t="s">
        <v>583</v>
      </c>
      <c r="H7" t="s">
        <v>375</v>
      </c>
      <c r="I7" t="s">
        <v>584</v>
      </c>
      <c r="J7" t="s">
        <v>332</v>
      </c>
      <c r="K7" t="s">
        <v>585</v>
      </c>
    </row>
    <row r="8" spans="1:11" x14ac:dyDescent="0.2">
      <c r="A8">
        <v>5000</v>
      </c>
      <c r="B8">
        <v>1118</v>
      </c>
      <c r="C8" t="s">
        <v>586</v>
      </c>
      <c r="D8" t="s">
        <v>195</v>
      </c>
      <c r="E8" t="s">
        <v>587</v>
      </c>
      <c r="F8" t="s">
        <v>588</v>
      </c>
      <c r="G8" t="s">
        <v>589</v>
      </c>
      <c r="H8" t="s">
        <v>590</v>
      </c>
      <c r="I8" t="s">
        <v>591</v>
      </c>
      <c r="J8" t="s">
        <v>592</v>
      </c>
      <c r="K8" t="s">
        <v>593</v>
      </c>
    </row>
    <row r="9" spans="1:11" x14ac:dyDescent="0.2">
      <c r="A9">
        <v>10000</v>
      </c>
      <c r="B9">
        <v>2273</v>
      </c>
      <c r="C9" t="s">
        <v>594</v>
      </c>
      <c r="D9" t="s">
        <v>212</v>
      </c>
      <c r="E9" t="s">
        <v>559</v>
      </c>
      <c r="F9" t="s">
        <v>595</v>
      </c>
      <c r="G9" t="s">
        <v>596</v>
      </c>
      <c r="H9" t="s">
        <v>597</v>
      </c>
      <c r="I9" t="s">
        <v>598</v>
      </c>
      <c r="J9" t="s">
        <v>599</v>
      </c>
      <c r="K9" t="s">
        <v>600</v>
      </c>
    </row>
    <row r="10" spans="1:11" x14ac:dyDescent="0.2">
      <c r="A10">
        <v>20000</v>
      </c>
      <c r="B10">
        <v>4634</v>
      </c>
      <c r="C10" t="s">
        <v>601</v>
      </c>
      <c r="D10" t="s">
        <v>212</v>
      </c>
      <c r="E10" t="s">
        <v>574</v>
      </c>
      <c r="F10" t="s">
        <v>582</v>
      </c>
      <c r="G10" t="s">
        <v>602</v>
      </c>
      <c r="H10" t="s">
        <v>603</v>
      </c>
      <c r="I10" t="s">
        <v>604</v>
      </c>
      <c r="J10" t="s">
        <v>605</v>
      </c>
      <c r="K10" t="s">
        <v>606</v>
      </c>
    </row>
    <row r="11" spans="1:11" x14ac:dyDescent="0.2">
      <c r="A11">
        <v>50000</v>
      </c>
      <c r="B11">
        <v>11668</v>
      </c>
      <c r="C11" t="s">
        <v>607</v>
      </c>
      <c r="D11" t="s">
        <v>243</v>
      </c>
      <c r="E11" t="s">
        <v>608</v>
      </c>
      <c r="F11" t="s">
        <v>559</v>
      </c>
      <c r="G11" t="s">
        <v>609</v>
      </c>
      <c r="H11" t="s">
        <v>177</v>
      </c>
      <c r="I11" t="s">
        <v>610</v>
      </c>
      <c r="J11" t="s">
        <v>611</v>
      </c>
      <c r="K11" t="s">
        <v>612</v>
      </c>
    </row>
    <row r="12" spans="1:11" x14ac:dyDescent="0.2">
      <c r="A12">
        <v>100000</v>
      </c>
      <c r="B12">
        <v>23650</v>
      </c>
      <c r="C12" t="s">
        <v>613</v>
      </c>
      <c r="D12" t="s">
        <v>243</v>
      </c>
      <c r="E12" t="s">
        <v>614</v>
      </c>
      <c r="F12" t="s">
        <v>595</v>
      </c>
      <c r="G12" t="s">
        <v>615</v>
      </c>
      <c r="H12" t="s">
        <v>616</v>
      </c>
      <c r="I12" t="s">
        <v>617</v>
      </c>
      <c r="J12" t="s">
        <v>618</v>
      </c>
      <c r="K12" t="s">
        <v>619</v>
      </c>
    </row>
    <row r="13" spans="1:11" x14ac:dyDescent="0.2">
      <c r="A13">
        <v>150000</v>
      </c>
      <c r="B13">
        <v>35775</v>
      </c>
      <c r="C13" t="s">
        <v>620</v>
      </c>
      <c r="D13" t="s">
        <v>243</v>
      </c>
      <c r="E13" t="s">
        <v>595</v>
      </c>
      <c r="F13" t="s">
        <v>582</v>
      </c>
      <c r="G13" t="s">
        <v>621</v>
      </c>
      <c r="H13" t="s">
        <v>230</v>
      </c>
      <c r="I13" t="s">
        <v>622</v>
      </c>
      <c r="J13" t="s">
        <v>623</v>
      </c>
      <c r="K13" t="s">
        <v>624</v>
      </c>
    </row>
    <row r="14" spans="1:11" x14ac:dyDescent="0.2">
      <c r="A14">
        <v>200000</v>
      </c>
      <c r="B14">
        <v>47650</v>
      </c>
      <c r="C14" t="s">
        <v>625</v>
      </c>
      <c r="D14" t="s">
        <v>152</v>
      </c>
      <c r="E14" t="s">
        <v>595</v>
      </c>
      <c r="F14" t="s">
        <v>559</v>
      </c>
      <c r="G14" t="s">
        <v>626</v>
      </c>
      <c r="H14" t="s">
        <v>627</v>
      </c>
      <c r="I14" t="s">
        <v>628</v>
      </c>
      <c r="J14" t="s">
        <v>518</v>
      </c>
      <c r="K14" t="s">
        <v>629</v>
      </c>
    </row>
    <row r="15" spans="1:11" x14ac:dyDescent="0.2">
      <c r="A15">
        <v>300000</v>
      </c>
      <c r="B15">
        <v>71577</v>
      </c>
      <c r="C15" t="s">
        <v>630</v>
      </c>
      <c r="D15" t="s">
        <v>152</v>
      </c>
      <c r="E15" t="s">
        <v>559</v>
      </c>
      <c r="F15" t="s">
        <v>559</v>
      </c>
      <c r="G15" t="s">
        <v>631</v>
      </c>
      <c r="H15" t="s">
        <v>632</v>
      </c>
      <c r="I15" t="s">
        <v>633</v>
      </c>
      <c r="J15" t="s">
        <v>634</v>
      </c>
      <c r="K15" t="s">
        <v>635</v>
      </c>
    </row>
    <row r="16" spans="1:11" x14ac:dyDescent="0.2">
      <c r="A16">
        <v>350000</v>
      </c>
      <c r="B16">
        <v>83548</v>
      </c>
      <c r="C16" t="s">
        <v>636</v>
      </c>
      <c r="D16" t="s">
        <v>152</v>
      </c>
      <c r="E16" t="s">
        <v>559</v>
      </c>
      <c r="F16" t="s">
        <v>582</v>
      </c>
      <c r="G16" t="s">
        <v>637</v>
      </c>
      <c r="H16" t="s">
        <v>256</v>
      </c>
      <c r="I16" t="s">
        <v>638</v>
      </c>
      <c r="J16" t="s">
        <v>639</v>
      </c>
      <c r="K16" t="s">
        <v>380</v>
      </c>
    </row>
    <row r="17" spans="1:11" x14ac:dyDescent="0.2">
      <c r="A17">
        <v>400000</v>
      </c>
      <c r="B17">
        <v>95227</v>
      </c>
      <c r="C17" t="s">
        <v>640</v>
      </c>
      <c r="D17" t="s">
        <v>152</v>
      </c>
      <c r="E17" t="s">
        <v>559</v>
      </c>
      <c r="F17" t="s">
        <v>582</v>
      </c>
      <c r="G17" t="s">
        <v>641</v>
      </c>
      <c r="H17" t="s">
        <v>642</v>
      </c>
      <c r="I17" t="s">
        <v>643</v>
      </c>
      <c r="J17" t="s">
        <v>275</v>
      </c>
      <c r="K17" t="s">
        <v>644</v>
      </c>
    </row>
    <row r="18" spans="1:11" x14ac:dyDescent="0.2">
      <c r="A18">
        <v>500000</v>
      </c>
      <c r="B18">
        <v>118992</v>
      </c>
      <c r="C18" t="s">
        <v>645</v>
      </c>
      <c r="D18" t="s">
        <v>152</v>
      </c>
      <c r="E18" t="s">
        <v>559</v>
      </c>
      <c r="F18" t="s">
        <v>582</v>
      </c>
      <c r="G18" t="s">
        <v>646</v>
      </c>
      <c r="H18" t="s">
        <v>256</v>
      </c>
      <c r="I18" t="s">
        <v>647</v>
      </c>
      <c r="J18" t="s">
        <v>648</v>
      </c>
      <c r="K18" t="s">
        <v>265</v>
      </c>
    </row>
    <row r="19" spans="1:11" x14ac:dyDescent="0.2">
      <c r="A19">
        <v>1000000</v>
      </c>
      <c r="B19">
        <v>238320</v>
      </c>
      <c r="C19" t="s">
        <v>649</v>
      </c>
      <c r="D19" t="s">
        <v>152</v>
      </c>
      <c r="E19" t="s">
        <v>595</v>
      </c>
      <c r="F19" t="s">
        <v>582</v>
      </c>
      <c r="G19" t="s">
        <v>650</v>
      </c>
      <c r="H19" t="s">
        <v>281</v>
      </c>
      <c r="I19" t="s">
        <v>651</v>
      </c>
      <c r="J19" t="s">
        <v>652</v>
      </c>
      <c r="K19" t="s">
        <v>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8C65-719B-D84A-8BF0-92BF485A111D}">
  <dimension ref="A1:K19"/>
  <sheetViews>
    <sheetView workbookViewId="0">
      <selection activeCell="K19" sqref="B1:K19"/>
    </sheetView>
  </sheetViews>
  <sheetFormatPr baseColWidth="10" defaultRowHeight="16" x14ac:dyDescent="0.2"/>
  <sheetData>
    <row r="1" spans="1:11" x14ac:dyDescent="0.2">
      <c r="A1">
        <v>10</v>
      </c>
      <c r="B1">
        <v>1</v>
      </c>
      <c r="C1" t="s">
        <v>653</v>
      </c>
      <c r="D1" t="s">
        <v>145</v>
      </c>
      <c r="E1" t="s">
        <v>654</v>
      </c>
      <c r="F1" t="s">
        <v>534</v>
      </c>
      <c r="G1" t="s">
        <v>655</v>
      </c>
      <c r="H1" t="s">
        <v>145</v>
      </c>
      <c r="I1" t="s">
        <v>656</v>
      </c>
      <c r="J1" t="s">
        <v>657</v>
      </c>
      <c r="K1" t="s">
        <v>658</v>
      </c>
    </row>
    <row r="2" spans="1:11" x14ac:dyDescent="0.2">
      <c r="A2">
        <v>50</v>
      </c>
      <c r="B2">
        <v>9</v>
      </c>
      <c r="C2" t="s">
        <v>659</v>
      </c>
      <c r="D2" t="s">
        <v>660</v>
      </c>
      <c r="E2" t="s">
        <v>661</v>
      </c>
      <c r="F2" t="s">
        <v>662</v>
      </c>
      <c r="G2" t="s">
        <v>663</v>
      </c>
      <c r="H2" t="s">
        <v>664</v>
      </c>
      <c r="I2" t="s">
        <v>665</v>
      </c>
      <c r="J2" t="s">
        <v>666</v>
      </c>
      <c r="K2" t="s">
        <v>667</v>
      </c>
    </row>
    <row r="3" spans="1:11" x14ac:dyDescent="0.2">
      <c r="A3">
        <v>100</v>
      </c>
      <c r="B3">
        <v>19</v>
      </c>
      <c r="C3" t="s">
        <v>668</v>
      </c>
      <c r="D3" t="s">
        <v>669</v>
      </c>
      <c r="E3" t="s">
        <v>670</v>
      </c>
      <c r="F3" t="s">
        <v>671</v>
      </c>
      <c r="G3" t="s">
        <v>672</v>
      </c>
      <c r="H3" t="s">
        <v>673</v>
      </c>
      <c r="I3" t="s">
        <v>674</v>
      </c>
      <c r="J3" t="s">
        <v>675</v>
      </c>
      <c r="K3" t="s">
        <v>676</v>
      </c>
    </row>
    <row r="4" spans="1:11" x14ac:dyDescent="0.2">
      <c r="A4">
        <v>200</v>
      </c>
      <c r="B4">
        <v>37</v>
      </c>
      <c r="C4" t="s">
        <v>167</v>
      </c>
      <c r="D4" t="s">
        <v>316</v>
      </c>
      <c r="E4" t="s">
        <v>677</v>
      </c>
      <c r="F4" t="s">
        <v>678</v>
      </c>
      <c r="G4" t="s">
        <v>679</v>
      </c>
      <c r="H4" t="s">
        <v>680</v>
      </c>
      <c r="I4" t="s">
        <v>681</v>
      </c>
      <c r="J4" t="s">
        <v>682</v>
      </c>
      <c r="K4" t="s">
        <v>683</v>
      </c>
    </row>
    <row r="5" spans="1:11" x14ac:dyDescent="0.2">
      <c r="A5">
        <v>500</v>
      </c>
      <c r="B5">
        <v>85</v>
      </c>
      <c r="C5" t="s">
        <v>684</v>
      </c>
      <c r="D5" t="s">
        <v>186</v>
      </c>
      <c r="E5" t="s">
        <v>685</v>
      </c>
      <c r="F5" t="s">
        <v>686</v>
      </c>
      <c r="G5" t="s">
        <v>687</v>
      </c>
      <c r="H5" t="s">
        <v>688</v>
      </c>
      <c r="I5" t="s">
        <v>689</v>
      </c>
      <c r="J5" t="s">
        <v>690</v>
      </c>
      <c r="K5" t="s">
        <v>691</v>
      </c>
    </row>
    <row r="6" spans="1:11" x14ac:dyDescent="0.2">
      <c r="A6">
        <v>1000</v>
      </c>
      <c r="B6">
        <v>188</v>
      </c>
      <c r="C6" t="s">
        <v>692</v>
      </c>
      <c r="D6" t="s">
        <v>693</v>
      </c>
      <c r="E6" t="s">
        <v>694</v>
      </c>
      <c r="F6" t="s">
        <v>695</v>
      </c>
      <c r="G6" t="s">
        <v>696</v>
      </c>
      <c r="H6" t="s">
        <v>697</v>
      </c>
      <c r="I6" t="s">
        <v>698</v>
      </c>
      <c r="J6" t="s">
        <v>699</v>
      </c>
      <c r="K6" t="s">
        <v>700</v>
      </c>
    </row>
    <row r="7" spans="1:11" x14ac:dyDescent="0.2">
      <c r="A7">
        <v>2000</v>
      </c>
      <c r="B7">
        <v>337</v>
      </c>
      <c r="C7" t="s">
        <v>701</v>
      </c>
      <c r="D7" t="s">
        <v>616</v>
      </c>
      <c r="E7" t="s">
        <v>702</v>
      </c>
      <c r="F7" t="s">
        <v>703</v>
      </c>
      <c r="G7" t="s">
        <v>704</v>
      </c>
      <c r="H7" t="s">
        <v>705</v>
      </c>
      <c r="I7" t="s">
        <v>706</v>
      </c>
      <c r="J7" t="s">
        <v>707</v>
      </c>
      <c r="K7" t="s">
        <v>708</v>
      </c>
    </row>
    <row r="8" spans="1:11" x14ac:dyDescent="0.2">
      <c r="A8">
        <v>5000</v>
      </c>
      <c r="B8">
        <v>843</v>
      </c>
      <c r="C8" t="s">
        <v>709</v>
      </c>
      <c r="D8" t="s">
        <v>152</v>
      </c>
      <c r="E8" t="s">
        <v>710</v>
      </c>
      <c r="F8" t="s">
        <v>575</v>
      </c>
      <c r="G8" t="s">
        <v>711</v>
      </c>
      <c r="H8" t="s">
        <v>712</v>
      </c>
      <c r="I8" t="s">
        <v>713</v>
      </c>
      <c r="J8" t="s">
        <v>714</v>
      </c>
      <c r="K8" t="s">
        <v>715</v>
      </c>
    </row>
    <row r="9" spans="1:11" x14ac:dyDescent="0.2">
      <c r="A9">
        <v>10000</v>
      </c>
      <c r="B9">
        <v>1679</v>
      </c>
      <c r="C9" t="s">
        <v>716</v>
      </c>
      <c r="D9" t="s">
        <v>152</v>
      </c>
      <c r="E9" t="s">
        <v>670</v>
      </c>
      <c r="F9" t="s">
        <v>703</v>
      </c>
      <c r="G9" t="s">
        <v>717</v>
      </c>
      <c r="H9" t="s">
        <v>718</v>
      </c>
      <c r="I9" t="s">
        <v>719</v>
      </c>
      <c r="J9" t="s">
        <v>720</v>
      </c>
      <c r="K9" t="s">
        <v>721</v>
      </c>
    </row>
    <row r="10" spans="1:11" x14ac:dyDescent="0.2">
      <c r="A10">
        <v>20000</v>
      </c>
      <c r="B10">
        <v>3487</v>
      </c>
      <c r="C10" t="s">
        <v>722</v>
      </c>
      <c r="D10" t="s">
        <v>339</v>
      </c>
      <c r="E10" t="s">
        <v>723</v>
      </c>
      <c r="F10" t="s">
        <v>575</v>
      </c>
      <c r="G10" t="s">
        <v>724</v>
      </c>
      <c r="H10" t="s">
        <v>544</v>
      </c>
      <c r="I10" t="s">
        <v>725</v>
      </c>
      <c r="J10" t="s">
        <v>726</v>
      </c>
      <c r="K10" t="s">
        <v>727</v>
      </c>
    </row>
    <row r="11" spans="1:11" x14ac:dyDescent="0.2">
      <c r="A11">
        <v>50000</v>
      </c>
      <c r="B11">
        <v>8631</v>
      </c>
      <c r="C11" t="s">
        <v>728</v>
      </c>
      <c r="D11" t="s">
        <v>235</v>
      </c>
      <c r="E11" t="s">
        <v>729</v>
      </c>
      <c r="F11" t="s">
        <v>730</v>
      </c>
      <c r="G11" t="s">
        <v>731</v>
      </c>
      <c r="H11" t="s">
        <v>339</v>
      </c>
      <c r="I11" t="s">
        <v>732</v>
      </c>
      <c r="J11" t="s">
        <v>733</v>
      </c>
      <c r="K11" t="s">
        <v>734</v>
      </c>
    </row>
    <row r="12" spans="1:11" x14ac:dyDescent="0.2">
      <c r="A12">
        <v>100000</v>
      </c>
      <c r="B12">
        <v>17482</v>
      </c>
      <c r="C12" t="s">
        <v>735</v>
      </c>
      <c r="D12" t="s">
        <v>243</v>
      </c>
      <c r="E12" t="s">
        <v>736</v>
      </c>
      <c r="F12" t="s">
        <v>730</v>
      </c>
      <c r="G12" t="s">
        <v>737</v>
      </c>
      <c r="H12" t="s">
        <v>514</v>
      </c>
      <c r="I12" t="s">
        <v>738</v>
      </c>
      <c r="J12" t="s">
        <v>551</v>
      </c>
      <c r="K12" t="s">
        <v>177</v>
      </c>
    </row>
    <row r="13" spans="1:11" x14ac:dyDescent="0.2">
      <c r="A13">
        <v>150000</v>
      </c>
      <c r="B13">
        <v>17482</v>
      </c>
      <c r="C13" t="s">
        <v>739</v>
      </c>
      <c r="D13" t="s">
        <v>740</v>
      </c>
      <c r="E13" t="s">
        <v>736</v>
      </c>
      <c r="F13" t="s">
        <v>730</v>
      </c>
      <c r="G13" t="s">
        <v>737</v>
      </c>
      <c r="H13" t="s">
        <v>741</v>
      </c>
      <c r="I13" t="s">
        <v>738</v>
      </c>
      <c r="J13" t="s">
        <v>742</v>
      </c>
      <c r="K13" t="s">
        <v>549</v>
      </c>
    </row>
    <row r="14" spans="1:11" x14ac:dyDescent="0.2">
      <c r="A14">
        <v>200000</v>
      </c>
      <c r="B14">
        <v>35356</v>
      </c>
      <c r="C14" t="s">
        <v>743</v>
      </c>
      <c r="D14" t="s">
        <v>744</v>
      </c>
      <c r="E14" t="s">
        <v>605</v>
      </c>
      <c r="F14" t="s">
        <v>745</v>
      </c>
      <c r="G14" t="s">
        <v>746</v>
      </c>
      <c r="H14" t="s">
        <v>747</v>
      </c>
      <c r="I14" t="s">
        <v>748</v>
      </c>
      <c r="J14" t="s">
        <v>749</v>
      </c>
      <c r="K14" t="s">
        <v>484</v>
      </c>
    </row>
    <row r="15" spans="1:11" x14ac:dyDescent="0.2">
      <c r="A15">
        <v>300000</v>
      </c>
      <c r="B15">
        <v>53105</v>
      </c>
      <c r="C15" t="s">
        <v>750</v>
      </c>
      <c r="D15" t="s">
        <v>152</v>
      </c>
      <c r="E15" t="s">
        <v>605</v>
      </c>
      <c r="F15" t="s">
        <v>745</v>
      </c>
      <c r="G15" t="s">
        <v>751</v>
      </c>
      <c r="H15" t="s">
        <v>273</v>
      </c>
      <c r="I15" t="s">
        <v>752</v>
      </c>
      <c r="J15" t="s">
        <v>753</v>
      </c>
      <c r="K15" t="s">
        <v>754</v>
      </c>
    </row>
    <row r="16" spans="1:11" x14ac:dyDescent="0.2">
      <c r="A16">
        <v>350000</v>
      </c>
      <c r="B16">
        <v>61757</v>
      </c>
      <c r="C16" t="s">
        <v>755</v>
      </c>
      <c r="D16" t="s">
        <v>152</v>
      </c>
      <c r="E16" t="s">
        <v>694</v>
      </c>
      <c r="F16" t="s">
        <v>575</v>
      </c>
      <c r="G16" t="s">
        <v>756</v>
      </c>
      <c r="H16" t="s">
        <v>384</v>
      </c>
      <c r="I16" t="s">
        <v>757</v>
      </c>
      <c r="J16" t="s">
        <v>758</v>
      </c>
      <c r="K16" t="s">
        <v>759</v>
      </c>
    </row>
    <row r="17" spans="1:11" x14ac:dyDescent="0.2">
      <c r="A17">
        <v>400000</v>
      </c>
      <c r="B17">
        <v>70493</v>
      </c>
      <c r="C17" t="s">
        <v>760</v>
      </c>
      <c r="D17" t="s">
        <v>152</v>
      </c>
      <c r="E17" t="s">
        <v>761</v>
      </c>
      <c r="F17" t="s">
        <v>575</v>
      </c>
      <c r="G17" t="s">
        <v>762</v>
      </c>
      <c r="H17" t="s">
        <v>763</v>
      </c>
      <c r="I17" t="s">
        <v>764</v>
      </c>
      <c r="J17" t="s">
        <v>765</v>
      </c>
      <c r="K17" t="s">
        <v>740</v>
      </c>
    </row>
    <row r="18" spans="1:11" x14ac:dyDescent="0.2">
      <c r="A18">
        <v>500000</v>
      </c>
      <c r="B18">
        <v>88050</v>
      </c>
      <c r="C18" t="s">
        <v>766</v>
      </c>
      <c r="D18" t="s">
        <v>152</v>
      </c>
      <c r="E18" t="s">
        <v>767</v>
      </c>
      <c r="F18" t="s">
        <v>575</v>
      </c>
      <c r="G18" t="s">
        <v>768</v>
      </c>
      <c r="H18" t="s">
        <v>281</v>
      </c>
      <c r="I18" t="s">
        <v>769</v>
      </c>
      <c r="J18" t="s">
        <v>409</v>
      </c>
      <c r="K18" t="s">
        <v>770</v>
      </c>
    </row>
    <row r="19" spans="1:11" x14ac:dyDescent="0.2">
      <c r="A19">
        <v>1000000</v>
      </c>
      <c r="B19">
        <v>176077</v>
      </c>
      <c r="C19" t="s">
        <v>766</v>
      </c>
      <c r="D19" t="s">
        <v>152</v>
      </c>
      <c r="E19" t="s">
        <v>694</v>
      </c>
      <c r="F19" t="s">
        <v>575</v>
      </c>
      <c r="G19" t="s">
        <v>771</v>
      </c>
      <c r="H19" t="s">
        <v>772</v>
      </c>
      <c r="I19" t="s">
        <v>773</v>
      </c>
      <c r="J19" t="s">
        <v>774</v>
      </c>
      <c r="K19" t="s">
        <v>775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4359-F6E9-3149-8A91-E1D15A050B6C}">
  <dimension ref="A1:K19"/>
  <sheetViews>
    <sheetView workbookViewId="0">
      <selection activeCell="K19" sqref="B1:K19"/>
    </sheetView>
  </sheetViews>
  <sheetFormatPr baseColWidth="10" defaultRowHeight="16" x14ac:dyDescent="0.2"/>
  <sheetData>
    <row r="1" spans="1:11" x14ac:dyDescent="0.2">
      <c r="A1">
        <v>10</v>
      </c>
      <c r="B1">
        <v>2</v>
      </c>
      <c r="C1" t="s">
        <v>144</v>
      </c>
      <c r="D1" t="s">
        <v>145</v>
      </c>
      <c r="E1" t="s">
        <v>533</v>
      </c>
      <c r="F1" t="s">
        <v>534</v>
      </c>
      <c r="G1" t="s">
        <v>535</v>
      </c>
      <c r="H1" t="s">
        <v>145</v>
      </c>
      <c r="I1" t="s">
        <v>536</v>
      </c>
      <c r="J1" t="s">
        <v>537</v>
      </c>
      <c r="K1" t="s">
        <v>538</v>
      </c>
    </row>
    <row r="2" spans="1:11" x14ac:dyDescent="0.2">
      <c r="A2">
        <v>50</v>
      </c>
      <c r="B2">
        <v>11</v>
      </c>
      <c r="C2" t="s">
        <v>539</v>
      </c>
      <c r="D2" t="s">
        <v>540</v>
      </c>
      <c r="E2" t="s">
        <v>541</v>
      </c>
      <c r="F2" t="s">
        <v>542</v>
      </c>
      <c r="G2" t="s">
        <v>543</v>
      </c>
      <c r="H2" t="s">
        <v>544</v>
      </c>
      <c r="I2" t="s">
        <v>545</v>
      </c>
      <c r="J2" t="s">
        <v>546</v>
      </c>
      <c r="K2" t="s">
        <v>547</v>
      </c>
    </row>
    <row r="3" spans="1:11" x14ac:dyDescent="0.2">
      <c r="A3">
        <v>100</v>
      </c>
      <c r="B3">
        <v>24</v>
      </c>
      <c r="C3" t="s">
        <v>548</v>
      </c>
      <c r="D3" t="s">
        <v>549</v>
      </c>
      <c r="E3" t="s">
        <v>550</v>
      </c>
      <c r="F3" t="s">
        <v>551</v>
      </c>
      <c r="G3" t="s">
        <v>552</v>
      </c>
      <c r="H3" t="s">
        <v>553</v>
      </c>
      <c r="I3" t="s">
        <v>554</v>
      </c>
      <c r="J3" t="s">
        <v>555</v>
      </c>
      <c r="K3" t="s">
        <v>556</v>
      </c>
    </row>
    <row r="4" spans="1:11" x14ac:dyDescent="0.2">
      <c r="A4">
        <v>200</v>
      </c>
      <c r="B4">
        <v>42</v>
      </c>
      <c r="C4" t="s">
        <v>557</v>
      </c>
      <c r="D4" t="s">
        <v>558</v>
      </c>
      <c r="E4" t="s">
        <v>559</v>
      </c>
      <c r="F4" t="s">
        <v>560</v>
      </c>
      <c r="G4" t="s">
        <v>561</v>
      </c>
      <c r="H4" t="s">
        <v>562</v>
      </c>
      <c r="I4" t="s">
        <v>563</v>
      </c>
      <c r="J4" t="s">
        <v>564</v>
      </c>
      <c r="K4" t="s">
        <v>565</v>
      </c>
    </row>
    <row r="5" spans="1:11" x14ac:dyDescent="0.2">
      <c r="A5">
        <v>500</v>
      </c>
      <c r="B5">
        <v>109</v>
      </c>
      <c r="C5" t="s">
        <v>566</v>
      </c>
      <c r="D5" t="s">
        <v>339</v>
      </c>
      <c r="E5" t="s">
        <v>567</v>
      </c>
      <c r="F5" t="s">
        <v>551</v>
      </c>
      <c r="G5" t="s">
        <v>568</v>
      </c>
      <c r="H5" t="s">
        <v>569</v>
      </c>
      <c r="I5" t="s">
        <v>570</v>
      </c>
      <c r="J5" t="s">
        <v>571</v>
      </c>
      <c r="K5" t="s">
        <v>572</v>
      </c>
    </row>
    <row r="6" spans="1:11" x14ac:dyDescent="0.2">
      <c r="A6">
        <v>1000</v>
      </c>
      <c r="B6">
        <v>221</v>
      </c>
      <c r="C6" t="s">
        <v>573</v>
      </c>
      <c r="D6" t="s">
        <v>243</v>
      </c>
      <c r="E6" t="s">
        <v>574</v>
      </c>
      <c r="F6" t="s">
        <v>575</v>
      </c>
      <c r="G6" t="s">
        <v>576</v>
      </c>
      <c r="H6" t="s">
        <v>577</v>
      </c>
      <c r="I6" t="s">
        <v>578</v>
      </c>
      <c r="J6" t="s">
        <v>579</v>
      </c>
      <c r="K6" t="s">
        <v>580</v>
      </c>
    </row>
    <row r="7" spans="1:11" x14ac:dyDescent="0.2">
      <c r="A7">
        <v>2000</v>
      </c>
      <c r="B7">
        <v>417</v>
      </c>
      <c r="C7" t="s">
        <v>581</v>
      </c>
      <c r="D7" t="s">
        <v>484</v>
      </c>
      <c r="E7" t="s">
        <v>559</v>
      </c>
      <c r="F7" t="s">
        <v>582</v>
      </c>
      <c r="G7" t="s">
        <v>583</v>
      </c>
      <c r="H7" t="s">
        <v>375</v>
      </c>
      <c r="I7" t="s">
        <v>584</v>
      </c>
      <c r="J7" t="s">
        <v>332</v>
      </c>
      <c r="K7" t="s">
        <v>585</v>
      </c>
    </row>
    <row r="8" spans="1:11" x14ac:dyDescent="0.2">
      <c r="A8">
        <v>5000</v>
      </c>
      <c r="B8">
        <v>1118</v>
      </c>
      <c r="C8" t="s">
        <v>586</v>
      </c>
      <c r="D8" t="s">
        <v>195</v>
      </c>
      <c r="E8" t="s">
        <v>587</v>
      </c>
      <c r="F8" t="s">
        <v>588</v>
      </c>
      <c r="G8" t="s">
        <v>589</v>
      </c>
      <c r="H8" t="s">
        <v>590</v>
      </c>
      <c r="I8" t="s">
        <v>591</v>
      </c>
      <c r="J8" t="s">
        <v>592</v>
      </c>
      <c r="K8" t="s">
        <v>593</v>
      </c>
    </row>
    <row r="9" spans="1:11" x14ac:dyDescent="0.2">
      <c r="A9">
        <v>10000</v>
      </c>
      <c r="B9">
        <v>2273</v>
      </c>
      <c r="C9" t="s">
        <v>594</v>
      </c>
      <c r="D9" t="s">
        <v>212</v>
      </c>
      <c r="E9" t="s">
        <v>559</v>
      </c>
      <c r="F9" t="s">
        <v>595</v>
      </c>
      <c r="G9" t="s">
        <v>596</v>
      </c>
      <c r="H9" t="s">
        <v>597</v>
      </c>
      <c r="I9" t="s">
        <v>598</v>
      </c>
      <c r="J9" t="s">
        <v>599</v>
      </c>
      <c r="K9" t="s">
        <v>600</v>
      </c>
    </row>
    <row r="10" spans="1:11" x14ac:dyDescent="0.2">
      <c r="A10">
        <v>20000</v>
      </c>
      <c r="B10">
        <v>4634</v>
      </c>
      <c r="C10" t="s">
        <v>601</v>
      </c>
      <c r="D10" t="s">
        <v>212</v>
      </c>
      <c r="E10" t="s">
        <v>574</v>
      </c>
      <c r="F10" t="s">
        <v>582</v>
      </c>
      <c r="G10" t="s">
        <v>602</v>
      </c>
      <c r="H10" t="s">
        <v>603</v>
      </c>
      <c r="I10" t="s">
        <v>604</v>
      </c>
      <c r="J10" t="s">
        <v>605</v>
      </c>
      <c r="K10" t="s">
        <v>606</v>
      </c>
    </row>
    <row r="11" spans="1:11" x14ac:dyDescent="0.2">
      <c r="A11">
        <v>50000</v>
      </c>
      <c r="B11">
        <v>11668</v>
      </c>
      <c r="C11" t="s">
        <v>607</v>
      </c>
      <c r="D11" t="s">
        <v>243</v>
      </c>
      <c r="E11" t="s">
        <v>608</v>
      </c>
      <c r="F11" t="s">
        <v>559</v>
      </c>
      <c r="G11" t="s">
        <v>609</v>
      </c>
      <c r="H11" t="s">
        <v>177</v>
      </c>
      <c r="I11" t="s">
        <v>610</v>
      </c>
      <c r="J11" t="s">
        <v>611</v>
      </c>
      <c r="K11" t="s">
        <v>612</v>
      </c>
    </row>
    <row r="12" spans="1:11" x14ac:dyDescent="0.2">
      <c r="A12">
        <v>100000</v>
      </c>
      <c r="B12">
        <v>23650</v>
      </c>
      <c r="C12" t="s">
        <v>613</v>
      </c>
      <c r="D12" t="s">
        <v>243</v>
      </c>
      <c r="E12" t="s">
        <v>614</v>
      </c>
      <c r="F12" t="s">
        <v>595</v>
      </c>
      <c r="G12" t="s">
        <v>615</v>
      </c>
      <c r="H12" t="s">
        <v>616</v>
      </c>
      <c r="I12" t="s">
        <v>617</v>
      </c>
      <c r="J12" t="s">
        <v>618</v>
      </c>
      <c r="K12" t="s">
        <v>619</v>
      </c>
    </row>
    <row r="13" spans="1:11" x14ac:dyDescent="0.2">
      <c r="A13">
        <v>150000</v>
      </c>
      <c r="B13">
        <v>35775</v>
      </c>
      <c r="C13" t="s">
        <v>620</v>
      </c>
      <c r="D13" t="s">
        <v>243</v>
      </c>
      <c r="E13" t="s">
        <v>595</v>
      </c>
      <c r="F13" t="s">
        <v>582</v>
      </c>
      <c r="G13" t="s">
        <v>621</v>
      </c>
      <c r="H13" t="s">
        <v>230</v>
      </c>
      <c r="I13" t="s">
        <v>622</v>
      </c>
      <c r="J13" t="s">
        <v>623</v>
      </c>
      <c r="K13" t="s">
        <v>624</v>
      </c>
    </row>
    <row r="14" spans="1:11" x14ac:dyDescent="0.2">
      <c r="A14">
        <v>200000</v>
      </c>
      <c r="B14">
        <v>47650</v>
      </c>
      <c r="C14" t="s">
        <v>625</v>
      </c>
      <c r="D14" t="s">
        <v>152</v>
      </c>
      <c r="E14" t="s">
        <v>595</v>
      </c>
      <c r="F14" t="s">
        <v>559</v>
      </c>
      <c r="G14" t="s">
        <v>626</v>
      </c>
      <c r="H14" t="s">
        <v>627</v>
      </c>
      <c r="I14" t="s">
        <v>628</v>
      </c>
      <c r="J14" t="s">
        <v>518</v>
      </c>
      <c r="K14" t="s">
        <v>629</v>
      </c>
    </row>
    <row r="15" spans="1:11" x14ac:dyDescent="0.2">
      <c r="A15">
        <v>300000</v>
      </c>
      <c r="B15">
        <v>71577</v>
      </c>
      <c r="C15" t="s">
        <v>630</v>
      </c>
      <c r="D15" t="s">
        <v>152</v>
      </c>
      <c r="E15" t="s">
        <v>559</v>
      </c>
      <c r="F15" t="s">
        <v>559</v>
      </c>
      <c r="G15" t="s">
        <v>631</v>
      </c>
      <c r="H15" t="s">
        <v>632</v>
      </c>
      <c r="I15" t="s">
        <v>633</v>
      </c>
      <c r="J15" t="s">
        <v>634</v>
      </c>
      <c r="K15" t="s">
        <v>635</v>
      </c>
    </row>
    <row r="16" spans="1:11" x14ac:dyDescent="0.2">
      <c r="A16">
        <v>350000</v>
      </c>
      <c r="B16">
        <v>83548</v>
      </c>
      <c r="C16" t="s">
        <v>636</v>
      </c>
      <c r="D16" t="s">
        <v>152</v>
      </c>
      <c r="E16" t="s">
        <v>559</v>
      </c>
      <c r="F16" t="s">
        <v>582</v>
      </c>
      <c r="G16" t="s">
        <v>637</v>
      </c>
      <c r="H16" t="s">
        <v>256</v>
      </c>
      <c r="I16" t="s">
        <v>638</v>
      </c>
      <c r="J16" t="s">
        <v>639</v>
      </c>
      <c r="K16" t="s">
        <v>380</v>
      </c>
    </row>
    <row r="17" spans="1:11" x14ac:dyDescent="0.2">
      <c r="A17">
        <v>400000</v>
      </c>
      <c r="B17">
        <v>95227</v>
      </c>
      <c r="C17" t="s">
        <v>640</v>
      </c>
      <c r="D17" t="s">
        <v>152</v>
      </c>
      <c r="E17" t="s">
        <v>559</v>
      </c>
      <c r="F17" t="s">
        <v>582</v>
      </c>
      <c r="G17" t="s">
        <v>641</v>
      </c>
      <c r="H17" t="s">
        <v>642</v>
      </c>
      <c r="I17" t="s">
        <v>643</v>
      </c>
      <c r="J17" t="s">
        <v>275</v>
      </c>
      <c r="K17" t="s">
        <v>644</v>
      </c>
    </row>
    <row r="18" spans="1:11" x14ac:dyDescent="0.2">
      <c r="A18">
        <v>500000</v>
      </c>
      <c r="B18">
        <v>118992</v>
      </c>
      <c r="C18" t="s">
        <v>645</v>
      </c>
      <c r="D18" t="s">
        <v>152</v>
      </c>
      <c r="E18" t="s">
        <v>559</v>
      </c>
      <c r="F18" t="s">
        <v>582</v>
      </c>
      <c r="G18" t="s">
        <v>646</v>
      </c>
      <c r="H18" t="s">
        <v>256</v>
      </c>
      <c r="I18" t="s">
        <v>647</v>
      </c>
      <c r="J18" t="s">
        <v>648</v>
      </c>
      <c r="K18" t="s">
        <v>265</v>
      </c>
    </row>
    <row r="19" spans="1:11" x14ac:dyDescent="0.2">
      <c r="A19">
        <v>1000000</v>
      </c>
      <c r="B19">
        <v>238320</v>
      </c>
      <c r="C19" t="s">
        <v>649</v>
      </c>
      <c r="D19" t="s">
        <v>152</v>
      </c>
      <c r="E19" t="s">
        <v>595</v>
      </c>
      <c r="F19" t="s">
        <v>582</v>
      </c>
      <c r="G19" t="s">
        <v>650</v>
      </c>
      <c r="H19" t="s">
        <v>281</v>
      </c>
      <c r="I19" t="s">
        <v>651</v>
      </c>
      <c r="J19" t="s">
        <v>652</v>
      </c>
      <c r="K19" t="s">
        <v>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136D-0B93-9E4E-9B7D-1B6D67B47EB6}">
  <dimension ref="A1:K19"/>
  <sheetViews>
    <sheetView workbookViewId="0">
      <selection activeCell="K19" sqref="B1:K19"/>
    </sheetView>
  </sheetViews>
  <sheetFormatPr baseColWidth="10" defaultRowHeight="16" x14ac:dyDescent="0.2"/>
  <sheetData>
    <row r="1" spans="1:11" x14ac:dyDescent="0.2">
      <c r="A1">
        <v>10</v>
      </c>
      <c r="B1">
        <v>1</v>
      </c>
      <c r="C1" t="s">
        <v>653</v>
      </c>
      <c r="D1" t="s">
        <v>145</v>
      </c>
      <c r="E1" t="s">
        <v>776</v>
      </c>
      <c r="F1" t="s">
        <v>777</v>
      </c>
      <c r="G1" t="s">
        <v>778</v>
      </c>
      <c r="H1" t="s">
        <v>145</v>
      </c>
      <c r="I1" t="s">
        <v>779</v>
      </c>
      <c r="J1" t="s">
        <v>780</v>
      </c>
      <c r="K1" t="s">
        <v>781</v>
      </c>
    </row>
    <row r="2" spans="1:11" x14ac:dyDescent="0.2">
      <c r="A2">
        <v>50</v>
      </c>
      <c r="B2">
        <v>3</v>
      </c>
      <c r="C2" t="s">
        <v>782</v>
      </c>
      <c r="D2" t="s">
        <v>770</v>
      </c>
      <c r="E2" t="s">
        <v>783</v>
      </c>
      <c r="F2" t="s">
        <v>784</v>
      </c>
      <c r="G2" t="s">
        <v>785</v>
      </c>
      <c r="H2" t="s">
        <v>786</v>
      </c>
      <c r="I2" t="s">
        <v>787</v>
      </c>
      <c r="J2" t="s">
        <v>788</v>
      </c>
      <c r="K2" t="s">
        <v>789</v>
      </c>
    </row>
    <row r="3" spans="1:11" x14ac:dyDescent="0.2">
      <c r="A3">
        <v>100</v>
      </c>
      <c r="B3">
        <v>10</v>
      </c>
      <c r="C3" t="s">
        <v>653</v>
      </c>
      <c r="D3" t="s">
        <v>790</v>
      </c>
      <c r="E3" t="s">
        <v>791</v>
      </c>
      <c r="F3" t="s">
        <v>792</v>
      </c>
      <c r="G3" t="s">
        <v>533</v>
      </c>
      <c r="H3" t="s">
        <v>793</v>
      </c>
      <c r="I3" t="s">
        <v>794</v>
      </c>
      <c r="J3" t="s">
        <v>795</v>
      </c>
      <c r="K3" t="s">
        <v>796</v>
      </c>
    </row>
    <row r="4" spans="1:11" x14ac:dyDescent="0.2">
      <c r="A4">
        <v>200</v>
      </c>
      <c r="B4">
        <v>17</v>
      </c>
      <c r="C4" t="s">
        <v>797</v>
      </c>
      <c r="D4" t="s">
        <v>798</v>
      </c>
      <c r="E4" t="s">
        <v>799</v>
      </c>
      <c r="F4" t="s">
        <v>800</v>
      </c>
      <c r="G4" t="s">
        <v>801</v>
      </c>
      <c r="H4" t="s">
        <v>802</v>
      </c>
      <c r="I4" t="s">
        <v>803</v>
      </c>
      <c r="J4" t="s">
        <v>804</v>
      </c>
      <c r="K4" t="s">
        <v>805</v>
      </c>
    </row>
    <row r="5" spans="1:11" x14ac:dyDescent="0.2">
      <c r="A5">
        <v>500</v>
      </c>
      <c r="B5">
        <v>38</v>
      </c>
      <c r="C5" t="s">
        <v>806</v>
      </c>
      <c r="D5" t="s">
        <v>492</v>
      </c>
      <c r="E5" t="s">
        <v>807</v>
      </c>
      <c r="F5" t="s">
        <v>800</v>
      </c>
      <c r="G5" t="s">
        <v>808</v>
      </c>
      <c r="H5" t="s">
        <v>809</v>
      </c>
      <c r="I5" t="s">
        <v>810</v>
      </c>
      <c r="J5" t="s">
        <v>811</v>
      </c>
      <c r="K5" t="s">
        <v>812</v>
      </c>
    </row>
    <row r="6" spans="1:11" x14ac:dyDescent="0.2">
      <c r="A6">
        <v>1000</v>
      </c>
      <c r="B6">
        <v>77</v>
      </c>
      <c r="C6" t="s">
        <v>813</v>
      </c>
      <c r="D6" t="s">
        <v>243</v>
      </c>
      <c r="E6" t="s">
        <v>814</v>
      </c>
      <c r="F6" t="s">
        <v>815</v>
      </c>
      <c r="G6" t="s">
        <v>284</v>
      </c>
      <c r="H6" t="s">
        <v>816</v>
      </c>
      <c r="I6" t="s">
        <v>817</v>
      </c>
      <c r="J6" t="s">
        <v>818</v>
      </c>
      <c r="K6" t="s">
        <v>819</v>
      </c>
    </row>
    <row r="7" spans="1:11" x14ac:dyDescent="0.2">
      <c r="A7">
        <v>2000</v>
      </c>
      <c r="B7">
        <v>146</v>
      </c>
      <c r="C7" t="s">
        <v>820</v>
      </c>
      <c r="D7" t="s">
        <v>375</v>
      </c>
      <c r="E7" t="s">
        <v>783</v>
      </c>
      <c r="F7" t="s">
        <v>821</v>
      </c>
      <c r="G7" t="s">
        <v>822</v>
      </c>
      <c r="H7" t="s">
        <v>823</v>
      </c>
      <c r="I7" t="s">
        <v>824</v>
      </c>
      <c r="J7" t="s">
        <v>825</v>
      </c>
      <c r="K7" t="s">
        <v>826</v>
      </c>
    </row>
    <row r="8" spans="1:11" x14ac:dyDescent="0.2">
      <c r="A8">
        <v>5000</v>
      </c>
      <c r="B8">
        <v>386</v>
      </c>
      <c r="C8" t="s">
        <v>827</v>
      </c>
      <c r="D8" t="s">
        <v>669</v>
      </c>
      <c r="E8" t="s">
        <v>814</v>
      </c>
      <c r="F8" t="s">
        <v>821</v>
      </c>
      <c r="G8" t="s">
        <v>236</v>
      </c>
      <c r="H8" t="s">
        <v>828</v>
      </c>
      <c r="I8" t="s">
        <v>829</v>
      </c>
      <c r="J8" t="s">
        <v>830</v>
      </c>
      <c r="K8" t="s">
        <v>831</v>
      </c>
    </row>
    <row r="9" spans="1:11" x14ac:dyDescent="0.2">
      <c r="A9">
        <v>10000</v>
      </c>
      <c r="B9">
        <v>777</v>
      </c>
      <c r="C9" t="s">
        <v>832</v>
      </c>
      <c r="D9" t="s">
        <v>243</v>
      </c>
      <c r="E9" t="s">
        <v>783</v>
      </c>
      <c r="F9" t="s">
        <v>833</v>
      </c>
      <c r="G9" t="s">
        <v>834</v>
      </c>
      <c r="H9" t="s">
        <v>835</v>
      </c>
      <c r="I9" t="s">
        <v>836</v>
      </c>
      <c r="J9" t="s">
        <v>784</v>
      </c>
      <c r="K9" t="s">
        <v>837</v>
      </c>
    </row>
    <row r="10" spans="1:11" x14ac:dyDescent="0.2">
      <c r="A10">
        <v>20000</v>
      </c>
      <c r="B10">
        <v>1614</v>
      </c>
      <c r="C10" t="s">
        <v>838</v>
      </c>
      <c r="D10" t="s">
        <v>339</v>
      </c>
      <c r="E10" t="s">
        <v>783</v>
      </c>
      <c r="F10" t="s">
        <v>821</v>
      </c>
      <c r="G10" t="s">
        <v>839</v>
      </c>
      <c r="H10" t="s">
        <v>840</v>
      </c>
      <c r="I10" t="s">
        <v>841</v>
      </c>
      <c r="J10" t="s">
        <v>815</v>
      </c>
      <c r="K10" t="s">
        <v>842</v>
      </c>
    </row>
    <row r="11" spans="1:11" x14ac:dyDescent="0.2">
      <c r="A11">
        <v>50000</v>
      </c>
      <c r="B11">
        <v>4022</v>
      </c>
      <c r="C11" t="s">
        <v>320</v>
      </c>
      <c r="D11" t="s">
        <v>152</v>
      </c>
      <c r="E11" t="s">
        <v>783</v>
      </c>
      <c r="F11" t="s">
        <v>833</v>
      </c>
      <c r="G11" t="s">
        <v>839</v>
      </c>
      <c r="H11" t="s">
        <v>741</v>
      </c>
      <c r="I11" t="s">
        <v>841</v>
      </c>
      <c r="J11" t="s">
        <v>843</v>
      </c>
      <c r="K11" t="s">
        <v>844</v>
      </c>
    </row>
    <row r="12" spans="1:11" x14ac:dyDescent="0.2">
      <c r="A12">
        <v>100000</v>
      </c>
      <c r="B12">
        <v>7922</v>
      </c>
      <c r="C12" t="s">
        <v>845</v>
      </c>
      <c r="D12" t="s">
        <v>235</v>
      </c>
      <c r="E12" t="s">
        <v>783</v>
      </c>
      <c r="F12" t="s">
        <v>833</v>
      </c>
      <c r="G12" t="s">
        <v>846</v>
      </c>
      <c r="H12" t="s">
        <v>396</v>
      </c>
      <c r="I12" t="s">
        <v>847</v>
      </c>
      <c r="J12" t="s">
        <v>791</v>
      </c>
      <c r="K12" t="s">
        <v>848</v>
      </c>
    </row>
    <row r="13" spans="1:11" x14ac:dyDescent="0.2">
      <c r="A13">
        <v>150000</v>
      </c>
      <c r="B13">
        <v>12010</v>
      </c>
      <c r="C13" t="s">
        <v>849</v>
      </c>
      <c r="D13" t="s">
        <v>243</v>
      </c>
      <c r="E13" t="s">
        <v>783</v>
      </c>
      <c r="F13" t="s">
        <v>821</v>
      </c>
      <c r="G13" t="s">
        <v>850</v>
      </c>
      <c r="H13" t="s">
        <v>851</v>
      </c>
      <c r="I13" t="s">
        <v>852</v>
      </c>
      <c r="J13" t="s">
        <v>853</v>
      </c>
      <c r="K13" t="s">
        <v>854</v>
      </c>
    </row>
    <row r="14" spans="1:11" x14ac:dyDescent="0.2">
      <c r="A14">
        <v>200000</v>
      </c>
      <c r="B14">
        <v>15958</v>
      </c>
      <c r="C14" t="s">
        <v>855</v>
      </c>
      <c r="D14" t="s">
        <v>152</v>
      </c>
      <c r="E14" t="s">
        <v>783</v>
      </c>
      <c r="F14" t="s">
        <v>821</v>
      </c>
      <c r="G14" t="s">
        <v>850</v>
      </c>
      <c r="H14" t="s">
        <v>741</v>
      </c>
      <c r="I14" t="s">
        <v>856</v>
      </c>
      <c r="J14" t="s">
        <v>807</v>
      </c>
      <c r="K14" t="s">
        <v>857</v>
      </c>
    </row>
    <row r="15" spans="1:11" x14ac:dyDescent="0.2">
      <c r="A15">
        <v>300000</v>
      </c>
      <c r="B15">
        <v>23836</v>
      </c>
      <c r="C15" t="s">
        <v>858</v>
      </c>
      <c r="D15" t="s">
        <v>152</v>
      </c>
      <c r="E15" t="s">
        <v>783</v>
      </c>
      <c r="F15" t="s">
        <v>821</v>
      </c>
      <c r="G15" t="s">
        <v>859</v>
      </c>
      <c r="H15" t="s">
        <v>860</v>
      </c>
      <c r="I15" t="s">
        <v>861</v>
      </c>
      <c r="J15" t="s">
        <v>799</v>
      </c>
      <c r="K15" t="s">
        <v>851</v>
      </c>
    </row>
    <row r="16" spans="1:11" x14ac:dyDescent="0.2">
      <c r="A16">
        <v>350000</v>
      </c>
      <c r="B16">
        <v>27751</v>
      </c>
      <c r="C16" t="s">
        <v>862</v>
      </c>
      <c r="D16" t="s">
        <v>152</v>
      </c>
      <c r="E16" t="s">
        <v>783</v>
      </c>
      <c r="F16" t="s">
        <v>821</v>
      </c>
      <c r="G16" t="s">
        <v>863</v>
      </c>
      <c r="H16" t="s">
        <v>514</v>
      </c>
      <c r="I16" t="s">
        <v>852</v>
      </c>
      <c r="J16" t="s">
        <v>799</v>
      </c>
      <c r="K16" t="s">
        <v>624</v>
      </c>
    </row>
    <row r="17" spans="1:11" x14ac:dyDescent="0.2">
      <c r="A17">
        <v>400000</v>
      </c>
      <c r="B17">
        <v>31646</v>
      </c>
      <c r="C17" t="s">
        <v>864</v>
      </c>
      <c r="D17" t="s">
        <v>152</v>
      </c>
      <c r="E17" t="s">
        <v>783</v>
      </c>
      <c r="F17" t="s">
        <v>821</v>
      </c>
      <c r="G17" t="s">
        <v>865</v>
      </c>
      <c r="H17" t="s">
        <v>390</v>
      </c>
      <c r="I17" t="s">
        <v>866</v>
      </c>
      <c r="J17" t="s">
        <v>867</v>
      </c>
      <c r="K17" t="s">
        <v>693</v>
      </c>
    </row>
    <row r="18" spans="1:11" x14ac:dyDescent="0.2">
      <c r="A18">
        <v>500000</v>
      </c>
      <c r="B18">
        <v>39440</v>
      </c>
      <c r="C18" t="s">
        <v>868</v>
      </c>
      <c r="D18" t="s">
        <v>152</v>
      </c>
      <c r="E18" t="s">
        <v>783</v>
      </c>
      <c r="F18" t="s">
        <v>821</v>
      </c>
      <c r="G18" t="s">
        <v>865</v>
      </c>
      <c r="H18" t="s">
        <v>741</v>
      </c>
      <c r="I18" t="s">
        <v>869</v>
      </c>
      <c r="J18" t="s">
        <v>870</v>
      </c>
      <c r="K18" t="s">
        <v>152</v>
      </c>
    </row>
    <row r="19" spans="1:11" x14ac:dyDescent="0.2">
      <c r="A19">
        <v>1000000</v>
      </c>
      <c r="B19">
        <v>78861</v>
      </c>
      <c r="C19" t="s">
        <v>868</v>
      </c>
      <c r="D19" t="s">
        <v>152</v>
      </c>
      <c r="E19" t="s">
        <v>783</v>
      </c>
      <c r="F19" t="s">
        <v>821</v>
      </c>
      <c r="G19" t="s">
        <v>871</v>
      </c>
      <c r="H19" t="s">
        <v>514</v>
      </c>
      <c r="I19" t="s">
        <v>856</v>
      </c>
      <c r="J19" t="s">
        <v>872</v>
      </c>
      <c r="K19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B7A8-504E-D24E-89D5-EAF3E71E18B1}">
  <dimension ref="A1:K19"/>
  <sheetViews>
    <sheetView workbookViewId="0">
      <selection activeCell="B19" sqref="B19"/>
    </sheetView>
  </sheetViews>
  <sheetFormatPr baseColWidth="10" defaultRowHeight="16" x14ac:dyDescent="0.2"/>
  <sheetData>
    <row r="1" spans="1:11" x14ac:dyDescent="0.2">
      <c r="A1">
        <v>10</v>
      </c>
      <c r="B1">
        <v>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</v>
      </c>
      <c r="I1" t="s">
        <v>5</v>
      </c>
      <c r="J1" t="s">
        <v>6</v>
      </c>
      <c r="K1" t="s">
        <v>7</v>
      </c>
    </row>
    <row r="2" spans="1:11" x14ac:dyDescent="0.2">
      <c r="A2">
        <v>50</v>
      </c>
      <c r="B2">
        <v>9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2">
      <c r="A3">
        <v>100</v>
      </c>
      <c r="B3">
        <v>20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</row>
    <row r="4" spans="1:11" x14ac:dyDescent="0.2">
      <c r="A4">
        <v>200</v>
      </c>
      <c r="B4">
        <v>42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2">
      <c r="A5">
        <v>500</v>
      </c>
      <c r="B5">
        <v>116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</row>
    <row r="6" spans="1:11" x14ac:dyDescent="0.2">
      <c r="A6">
        <v>1000</v>
      </c>
      <c r="B6">
        <v>214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</row>
    <row r="7" spans="1:11" x14ac:dyDescent="0.2">
      <c r="A7">
        <v>2000</v>
      </c>
      <c r="B7">
        <v>425</v>
      </c>
      <c r="C7" t="s">
        <v>53</v>
      </c>
      <c r="D7" t="s">
        <v>54</v>
      </c>
      <c r="E7" t="s">
        <v>55</v>
      </c>
      <c r="F7" t="s">
        <v>29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</row>
    <row r="8" spans="1:11" x14ac:dyDescent="0.2">
      <c r="A8">
        <v>5000</v>
      </c>
      <c r="B8">
        <v>1129</v>
      </c>
      <c r="C8" t="s">
        <v>61</v>
      </c>
      <c r="D8" t="s">
        <v>62</v>
      </c>
      <c r="E8" t="s">
        <v>63</v>
      </c>
      <c r="F8" t="s">
        <v>28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</row>
    <row r="9" spans="1:11" x14ac:dyDescent="0.2">
      <c r="A9">
        <v>10000</v>
      </c>
      <c r="B9">
        <v>2271</v>
      </c>
      <c r="C9" t="s">
        <v>69</v>
      </c>
      <c r="D9" t="s">
        <v>70</v>
      </c>
      <c r="E9" t="s">
        <v>71</v>
      </c>
      <c r="F9" t="s">
        <v>28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</row>
    <row r="10" spans="1:11" x14ac:dyDescent="0.2">
      <c r="A10">
        <v>20000</v>
      </c>
      <c r="B10">
        <v>4507</v>
      </c>
      <c r="C10" t="s">
        <v>77</v>
      </c>
      <c r="D10" t="s">
        <v>54</v>
      </c>
      <c r="E10" t="s">
        <v>78</v>
      </c>
      <c r="F10" t="s">
        <v>29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</row>
    <row r="11" spans="1:11" x14ac:dyDescent="0.2">
      <c r="A11">
        <v>50000</v>
      </c>
      <c r="B11">
        <v>11659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92</v>
      </c>
    </row>
    <row r="12" spans="1:11" x14ac:dyDescent="0.2">
      <c r="A12">
        <v>100000</v>
      </c>
      <c r="B12">
        <v>23382</v>
      </c>
      <c r="C12" t="s">
        <v>93</v>
      </c>
      <c r="D12" t="s">
        <v>94</v>
      </c>
      <c r="E12" t="s">
        <v>95</v>
      </c>
      <c r="F12" t="s">
        <v>87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</row>
    <row r="13" spans="1:11" x14ac:dyDescent="0.2">
      <c r="A13">
        <v>150000</v>
      </c>
      <c r="B13">
        <v>35077</v>
      </c>
      <c r="C13" t="s">
        <v>93</v>
      </c>
      <c r="D13" t="s">
        <v>94</v>
      </c>
      <c r="E13" t="s">
        <v>78</v>
      </c>
      <c r="F13" t="s">
        <v>20</v>
      </c>
      <c r="G13" t="s">
        <v>101</v>
      </c>
      <c r="H13" t="s">
        <v>102</v>
      </c>
      <c r="I13" t="s">
        <v>103</v>
      </c>
      <c r="J13" t="s">
        <v>104</v>
      </c>
      <c r="K13" t="s">
        <v>85</v>
      </c>
    </row>
    <row r="14" spans="1:11" x14ac:dyDescent="0.2">
      <c r="A14">
        <v>200000</v>
      </c>
      <c r="B14">
        <v>46847</v>
      </c>
      <c r="C14" t="s">
        <v>105</v>
      </c>
      <c r="D14" t="s">
        <v>94</v>
      </c>
      <c r="E14" t="s">
        <v>78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</row>
    <row r="15" spans="1:11" x14ac:dyDescent="0.2">
      <c r="A15">
        <v>300000</v>
      </c>
      <c r="B15">
        <v>70197</v>
      </c>
      <c r="C15" t="s">
        <v>112</v>
      </c>
      <c r="D15" t="s">
        <v>94</v>
      </c>
      <c r="E15" t="s">
        <v>113</v>
      </c>
      <c r="F15" t="s">
        <v>20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</row>
    <row r="16" spans="1:11" x14ac:dyDescent="0.2">
      <c r="A16">
        <v>350000</v>
      </c>
      <c r="B16">
        <v>82040</v>
      </c>
      <c r="C16" t="s">
        <v>119</v>
      </c>
      <c r="D16" t="s">
        <v>94</v>
      </c>
      <c r="E16" t="s">
        <v>113</v>
      </c>
      <c r="F16" t="s">
        <v>20</v>
      </c>
      <c r="G16" t="s">
        <v>120</v>
      </c>
      <c r="H16" t="s">
        <v>121</v>
      </c>
      <c r="I16" t="s">
        <v>122</v>
      </c>
      <c r="J16" t="s">
        <v>123</v>
      </c>
      <c r="K16" t="s">
        <v>97</v>
      </c>
    </row>
    <row r="17" spans="1:11" x14ac:dyDescent="0.2">
      <c r="A17">
        <v>400000</v>
      </c>
      <c r="B17">
        <v>93805</v>
      </c>
      <c r="C17" t="s">
        <v>124</v>
      </c>
      <c r="D17" t="s">
        <v>94</v>
      </c>
      <c r="E17" t="s">
        <v>125</v>
      </c>
      <c r="F17" t="s">
        <v>106</v>
      </c>
      <c r="G17" t="s">
        <v>126</v>
      </c>
      <c r="H17" t="s">
        <v>127</v>
      </c>
      <c r="I17" t="s">
        <v>128</v>
      </c>
      <c r="J17" t="s">
        <v>129</v>
      </c>
      <c r="K17" t="s">
        <v>130</v>
      </c>
    </row>
    <row r="18" spans="1:11" x14ac:dyDescent="0.2">
      <c r="A18">
        <v>500000</v>
      </c>
      <c r="B18">
        <v>117684</v>
      </c>
      <c r="C18" t="s">
        <v>131</v>
      </c>
      <c r="D18" t="s">
        <v>94</v>
      </c>
      <c r="E18" t="s">
        <v>132</v>
      </c>
      <c r="F18" t="s">
        <v>106</v>
      </c>
      <c r="G18" t="s">
        <v>133</v>
      </c>
      <c r="H18" t="s">
        <v>134</v>
      </c>
      <c r="I18" t="s">
        <v>135</v>
      </c>
      <c r="J18" t="s">
        <v>136</v>
      </c>
      <c r="K18" t="s">
        <v>137</v>
      </c>
    </row>
    <row r="19" spans="1:11" x14ac:dyDescent="0.2">
      <c r="A19">
        <v>1000000</v>
      </c>
      <c r="B19">
        <v>235642</v>
      </c>
      <c r="C19" t="s">
        <v>138</v>
      </c>
      <c r="D19" t="s">
        <v>94</v>
      </c>
      <c r="E19" t="s">
        <v>139</v>
      </c>
      <c r="F19" t="s">
        <v>106</v>
      </c>
      <c r="G19" t="s">
        <v>140</v>
      </c>
      <c r="H19" t="s">
        <v>102</v>
      </c>
      <c r="I19" t="s">
        <v>141</v>
      </c>
      <c r="J19" t="s">
        <v>142</v>
      </c>
      <c r="K19" t="s">
        <v>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FA38-62BB-9F43-BD75-13C1C1CF6711}">
  <dimension ref="A1:E10"/>
  <sheetViews>
    <sheetView topLeftCell="A23" workbookViewId="0">
      <selection activeCell="G44" sqref="G44"/>
    </sheetView>
  </sheetViews>
  <sheetFormatPr baseColWidth="10" defaultRowHeight="16" x14ac:dyDescent="0.2"/>
  <cols>
    <col min="2" max="2" width="18.5" customWidth="1"/>
    <col min="3" max="3" width="13.83203125" customWidth="1"/>
  </cols>
  <sheetData>
    <row r="1" spans="1:5" x14ac:dyDescent="0.2">
      <c r="B1" t="s">
        <v>873</v>
      </c>
      <c r="C1" t="s">
        <v>883</v>
      </c>
      <c r="D1" t="s">
        <v>884</v>
      </c>
      <c r="E1" t="s">
        <v>885</v>
      </c>
    </row>
    <row r="2" spans="1:5" x14ac:dyDescent="0.2">
      <c r="A2" t="s">
        <v>874</v>
      </c>
      <c r="B2" cm="1">
        <f t="array" ref="B2">AVERAGE(VALUE(SUBSTITUTE('1'!C$1:C$19,".",","))) *100</f>
        <v>25.364736842105255</v>
      </c>
      <c r="C2" cm="1">
        <f t="array" ref="C2">AVERAGE(VALUE(SUBSTITUTE('1'!E$1:E$19,".",",")))</f>
        <v>0.47889473684210526</v>
      </c>
      <c r="D2" cm="1">
        <f t="array" ref="D2">AVERAGE(VALUE(SUBSTITUTE('1'!F$1:F$19,".",",")))</f>
        <v>0.37794736842105264</v>
      </c>
      <c r="E2" cm="1">
        <f t="array" ref="E2">AVERAGE(VALUE(SUBSTITUTE('1'!G$1:G$19,".",",")))</f>
        <v>11.296473684210527</v>
      </c>
    </row>
    <row r="3" spans="1:5" x14ac:dyDescent="0.2">
      <c r="A3" t="s">
        <v>875</v>
      </c>
      <c r="B3" cm="1">
        <f t="array" ref="B3">AVERAGE(VALUE(SUBSTITUTE('2'!C$1:C$19,".",","))) *100</f>
        <v>54.727894736842096</v>
      </c>
      <c r="C3" cm="1">
        <f t="array" ref="C3">AVERAGE(VALUE(SUBSTITUTE('2'!E$1:E$19,".",",")))</f>
        <v>0.92347368421052634</v>
      </c>
      <c r="D3" cm="1">
        <f t="array" ref="D3">AVERAGE(VALUE(SUBSTITUTE('2'!F$1:F$19,".",",")))</f>
        <v>0.50673684210526315</v>
      </c>
      <c r="E3" cm="1">
        <f t="array" ref="E3">AVERAGE(VALUE(SUBSTITUTE('2'!G$1:G$19,".",",")))</f>
        <v>27.670736842105264</v>
      </c>
    </row>
    <row r="4" spans="1:5" x14ac:dyDescent="0.2">
      <c r="A4" t="s">
        <v>876</v>
      </c>
      <c r="B4" cm="1">
        <f t="array" ref="B4">AVERAGE(VALUE(SUBSTITUTE('3'!C$1:C$19,".",","))) *100</f>
        <v>509.68631578947361</v>
      </c>
      <c r="C4" cm="1">
        <f t="array" ref="C4">AVERAGE(VALUE(SUBSTITUTE('3'!E$1:E$19,".",",")))</f>
        <v>1.794157894736842</v>
      </c>
      <c r="D4" cm="1">
        <f t="array" ref="D4">AVERAGE(VALUE(SUBSTITUTE('3'!F$1:F$19,".",",")))</f>
        <v>0.83699999999999986</v>
      </c>
      <c r="E4" cm="1">
        <f t="array" ref="E4">AVERAGE(VALUE(SUBSTITUTE('3'!G$1:G$19,".",",")))</f>
        <v>24.622315789473681</v>
      </c>
    </row>
    <row r="5" spans="1:5" x14ac:dyDescent="0.2">
      <c r="A5" t="s">
        <v>877</v>
      </c>
      <c r="B5" cm="1">
        <f t="array" ref="B5">AVERAGE(VALUE(SUBSTITUTE('4'!C$1:C$19,".",","))) *100</f>
        <v>22.833684210526318</v>
      </c>
      <c r="C5" cm="1">
        <f t="array" ref="C5">AVERAGE(VALUE(SUBSTITUTE('4'!E$1:E$19,".",",")))</f>
        <v>0.1888947368421052</v>
      </c>
      <c r="D5" cm="1">
        <f t="array" ref="D5">AVERAGE(VALUE(SUBSTITUTE('4'!F$1:F$19,".",",")))</f>
        <v>0.17684210526315788</v>
      </c>
      <c r="E5" cm="1">
        <f t="array" ref="E5">AVERAGE(VALUE(SUBSTITUTE('4'!G$1:G$19,".",",")))</f>
        <v>8.8675789473684201</v>
      </c>
    </row>
    <row r="6" spans="1:5" x14ac:dyDescent="0.2">
      <c r="A6" t="s">
        <v>878</v>
      </c>
      <c r="B6" cm="1">
        <f t="array" ref="B6">AVERAGE(VALUE(SUBSTITUTE('5'!C$1:C$19,".",","))) *100</f>
        <v>22.833684210526318</v>
      </c>
      <c r="C6" cm="1">
        <f t="array" ref="C6">AVERAGE(VALUE(SUBSTITUTE('5'!E$1:E$19,".",",")))</f>
        <v>0.1888947368421052</v>
      </c>
      <c r="D6" cm="1">
        <f t="array" ref="D6">AVERAGE(VALUE(SUBSTITUTE('5'!F$1:F$19,".",",")))</f>
        <v>0.17684210526315788</v>
      </c>
      <c r="E6" cm="1">
        <f t="array" ref="E6">AVERAGE(VALUE(SUBSTITUTE('5'!G$1:G$19,".",",")))</f>
        <v>8.8675789473684201</v>
      </c>
    </row>
    <row r="7" spans="1:5" x14ac:dyDescent="0.2">
      <c r="A7" t="s">
        <v>879</v>
      </c>
      <c r="B7" cm="1">
        <f t="array" ref="B7">AVERAGE(VALUE(SUBSTITUTE('6'!C$1:C$19,".",","))) *100</f>
        <v>16.920526315789473</v>
      </c>
      <c r="C7" cm="1">
        <f t="array" ref="C7">AVERAGE(VALUE(SUBSTITUTE('6'!E$1:E$19,".",",")))</f>
        <v>0.30099999999999999</v>
      </c>
      <c r="D7" cm="1">
        <f t="array" ref="D7">AVERAGE(VALUE(SUBSTITUTE('6'!F$1:F$19,".",",")))</f>
        <v>0.18384210526315789</v>
      </c>
      <c r="E7" cm="1">
        <f t="array" ref="E7">AVERAGE(VALUE(SUBSTITUTE('6'!G$1:G$19,".",",")))</f>
        <v>13.422368421052633</v>
      </c>
    </row>
    <row r="8" spans="1:5" x14ac:dyDescent="0.2">
      <c r="A8" t="s">
        <v>880</v>
      </c>
      <c r="B8" cm="1">
        <f t="array" ref="B8">AVERAGE(VALUE(SUBSTITUTE('7'!C$1:C$19,".",","))) *100</f>
        <v>22.833684210526318</v>
      </c>
      <c r="C8" cm="1">
        <f t="array" ref="C8">AVERAGE(VALUE(SUBSTITUTE('7'!E$1:E$19,".",",")))</f>
        <v>0.1888947368421052</v>
      </c>
      <c r="D8" cm="1">
        <f t="array" ref="D8">AVERAGE(VALUE(SUBSTITUTE('7'!F$1:F$19,".",",")))</f>
        <v>0.17684210526315788</v>
      </c>
      <c r="E8" cm="1">
        <f t="array" ref="E8">AVERAGE(VALUE(SUBSTITUTE('7'!G$1:G$19,".",",")))</f>
        <v>8.8675789473684201</v>
      </c>
    </row>
    <row r="9" spans="1:5" x14ac:dyDescent="0.2">
      <c r="A9" t="s">
        <v>881</v>
      </c>
      <c r="B9" cm="1">
        <f t="array" ref="B9">AVERAGE(VALUE(SUBSTITUTE('8'!C$1:C$19,".",","))) *100</f>
        <v>8.0094736842105263</v>
      </c>
      <c r="C9" cm="1">
        <f t="array" ref="C9">AVERAGE(VALUE(SUBSTITUTE('8'!E$1:E$19,".",",")))</f>
        <v>1.1947368421052635E-2</v>
      </c>
      <c r="D9" cm="1">
        <f t="array" ref="D9">AVERAGE(VALUE(SUBSTITUTE('8'!F$1:F$19,".",",")))</f>
        <v>2.7263157894736854E-2</v>
      </c>
      <c r="E9" cm="1">
        <f t="array" ref="E9">AVERAGE(VALUE(SUBSTITUTE('8'!G$1:G$19,".",",")))</f>
        <v>0.52384210526315789</v>
      </c>
    </row>
    <row r="10" spans="1:5" x14ac:dyDescent="0.2">
      <c r="A10" t="s">
        <v>882</v>
      </c>
      <c r="B10" cm="1">
        <f t="array" ref="B10">AVERAGE(VALUE(SUBSTITUTE('9'!C$1:C$19,".",","))) *100</f>
        <v>21.766842105263155</v>
      </c>
      <c r="C10" cm="1">
        <f t="array" ref="C10">AVERAGE(VALUE(SUBSTITUTE('9'!E$1:E$19,".",",")))</f>
        <v>0.43721052631578938</v>
      </c>
      <c r="D10" cm="1">
        <f t="array" ref="D10">AVERAGE(VALUE(SUBSTITUTE('9'!F$1:F$19,".",",")))</f>
        <v>0.38221052631578939</v>
      </c>
      <c r="E10" cm="1">
        <f t="array" ref="E10">AVERAGE(VALUE(SUBSTITUTE('9'!G$1:G$19,".",",")))</f>
        <v>10.067894736842105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Сравнение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Графики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Васильев</dc:creator>
  <cp:lastModifiedBy>Никита Васильев</cp:lastModifiedBy>
  <dcterms:created xsi:type="dcterms:W3CDTF">2025-11-25T20:15:25Z</dcterms:created>
  <dcterms:modified xsi:type="dcterms:W3CDTF">2025-11-26T07:19:25Z</dcterms:modified>
</cp:coreProperties>
</file>